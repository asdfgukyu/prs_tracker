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93D7FB70-2C00-1F4E-8CC2-6725ACF3C491}" xr6:coauthVersionLast="47" xr6:coauthVersionMax="47" xr10:uidLastSave="{00000000-0000-0000-0000-000000000000}"/>
  <bookViews>
    <workbookView xWindow="30240" yWindow="4820" windowWidth="30240" windowHeight="18880" tabRatio="881" firstSheet="9" activeTab="12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  <definedName name="_xlnm._FilterDatabase" localSheetId="5" hidden="1">'Length of stay'!$B$23:$H$59</definedName>
  </definedNames>
  <calcPr calcId="191028"/>
  <pivotCaches>
    <pivotCache cacheId="16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<sst xmlns="http://schemas.openxmlformats.org/spreadsheetml/2006/main" count="1322" uniqueCount="568">
  <si>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</si>
  <si>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</si>
  <si>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</si>
  <si>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</si>
  <si>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</si>
  <si>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</si>
  <si>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</si>
  <si>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</si>
  <si>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</si>
  <si>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</si>
  <si>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</si>
  <si>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</si>
  <si>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</si>
  <si>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</si>
  <si>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</si>
  <si>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</si>
  <si>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</si>
  <si>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</si>
  <si>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</si>
  <si>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</si>
  <si>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</si>
  <si>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</si>
  <si>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</si>
  <si>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</si>
  <si>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</si>
  <si>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</si>
  <si>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</si>
  <si>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</si>
  <si>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</si>
  <si>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</si>
  <si>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</si>
  <si>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</si>
  <si>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</si>
  <si>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</si>
  <si>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</si>
  <si>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</si>
  <si>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</si>
  <si>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</si>
  <si>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</si>
  <si>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</si>
  <si>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</si>
  <si>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</si>
  <si>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</si>
  <si>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</si>
  <si>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</si>
  <si>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</si>
  <si>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</si>
  <si>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</si>
  <si>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</si>
  <si>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</si>
  <si>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</si>
  <si>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</si>
  <si>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</si>
  <si>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</si>
  <si>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</si>
  <si>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</si>
  <si>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</si>
  <si>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</si>
  <si>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</si>
  <si>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</si>
  <si>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</si>
  <si>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</si>
  <si>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</si>
  <si>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</si>
  <si>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</si>
  <si>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</si>
  <si>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</si>
  <si>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</si>
  <si>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</si>
  <si>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</si>
  <si>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</si>
  <si>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</si>
  <si>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</si>
  <si>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</si>
  <si>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</si>
  <si>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</si>
  <si>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</si>
  <si>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</si>
  <si>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</si>
  <si>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</si>
  <si>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</si>
  <si>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</si>
  <si>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</si>
  <si>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</si>
  <si>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</si>
  <si>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</si>
  <si>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</si>
  <si>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</si>
  <si>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</si>
  <si>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</si>
  <si>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</si>
  <si>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</si>
  <si>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</si>
  <si>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</si>
  <si>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</si>
  <si>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</si>
  <si>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</si>
  <si>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</si>
  <si>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</si>
  <si>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</si>
  <si>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</si>
  <si>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</si>
  <si>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</si>
  <si>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</si>
  <si>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</si>
  <si>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</si>
  <si>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</si>
  <si>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</si>
  <si>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</si>
  <si>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</si>
  <si>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</si>
  <si>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</si>
  <si>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</si>
  <si>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</si>
  <si>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</si>
  <si>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</si>
  <si>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</si>
  <si>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</si>
  <si>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</si>
  <si>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</si>
  <si>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</si>
  <si>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</si>
  <si>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</si>
  <si>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</si>
  <si>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</si>
  <si>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</si>
  <si>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</si>
  <si>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</si>
  <si>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</si>
  <si>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</si>
  <si>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</si>
  <si>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</si>
  <si>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tenure4</t>
  </si>
  <si>
    <t>Average of 10+ years</t>
  </si>
  <si>
    <t>Column Labels</t>
  </si>
  <si>
    <t>Row Labels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</si>
  <si>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</si>
  <si>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</si>
  <si>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</si>
  <si>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</si>
  <si>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</si>
  <si>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</si>
  <si>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</si>
  <si>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</si>
  <si>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</si>
  <si>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</si>
  <si>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</si>
  <si>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</si>
  <si>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</si>
  <si>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</si>
  <si>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</si>
  <si>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</si>
  <si>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</si>
  <si>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</si>
  <si>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</si>
  <si>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</si>
  <si>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</si>
  <si>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</si>
  <si>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</si>
  <si>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</si>
  <si>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</si>
  <si>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</si>
  <si>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</si>
  <si>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</si>
  <si>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</si>
  <si>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</si>
  <si>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</si>
  <si>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</si>
  <si>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</si>
  <si>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</si>
  <si>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</si>
  <si>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</si>
  <si>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</si>
  <si>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</si>
  <si>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</si>
  <si>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</si>
  <si>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</si>
  <si>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</si>
  <si>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</si>
  <si>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</si>
  <si>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</si>
  <si>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</si>
  <si>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</si>
  <si>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</si>
  <si>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</si>
  <si>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</si>
  <si>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</si>
  <si>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</si>
  <si>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</si>
  <si>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</si>
  <si>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</si>
  <si>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</si>
  <si>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</si>
  <si>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</si>
  <si>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</si>
  <si>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</si>
  <si>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</si>
  <si>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</si>
  <si>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</si>
  <si>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</si>
  <si>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</si>
  <si>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</si>
  <si>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</si>
  <si>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</si>
  <si>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</si>
  <si>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</si>
  <si>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</si>
  <si>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</si>
  <si>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</si>
  <si>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</si>
  <si>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</si>
  <si>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</si>
  <si>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</si>
  <si>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</si>
  <si>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</si>
  <si>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</si>
  <si>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</si>
  <si>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</si>
  <si>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</si>
  <si>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</si>
  <si>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</si>
  <si>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</si>
  <si>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</si>
  <si>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</si>
  <si>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</si>
  <si>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</si>
  <si>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</si>
  <si>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</si>
  <si>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</si>
  <si>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</si>
  <si>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</si>
  <si>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</si>
  <si>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</si>
  <si>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</si>
  <si>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</si>
  <si>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</si>
  <si>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</si>
  <si>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</si>
  <si>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</si>
  <si>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</si>
  <si>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</si>
  <si>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</si>
  <si>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</si>
  <si>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</si>
  <si>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</si>
  <si>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</si>
  <si>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</si>
  <si>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</si>
  <si>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</si>
  <si>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</si>
  <si>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</si>
  <si>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</si>
  <si>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</si>
  <si>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</si>
  <si>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</si>
  <si>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</si>
  <si>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</si>
  <si>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</si>
  <si>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</si>
  <si>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</si>
  <si>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</si>
  <si>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</si>
  <si>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</si>
  <si>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</si>
  <si>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</si>
  <si>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</si>
  <si>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</si>
  <si>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</si>
  <si>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</si>
  <si>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</si>
  <si>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</si>
  <si>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</si>
  <si>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</si>
  <si>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</si>
  <si>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</si>
  <si>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</si>
  <si>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</si>
  <si>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</si>
  <si>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</si>
  <si>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</si>
  <si>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</si>
  <si>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</si>
  <si>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</si>
  <si>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</si>
  <si>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</si>
  <si>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</si>
  <si>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</si>
  <si>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</si>
  <si>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</si>
  <si>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</si>
  <si>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</si>
  <si>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</si>
  <si>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</si>
  <si>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</si>
  <si>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</si>
  <si>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</si>
  <si>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</si>
  <si>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</si>
  <si>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</si>
  <si>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</si>
  <si>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</si>
  <si>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</si>
  <si>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</si>
  <si>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</si>
  <si>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</si>
  <si>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</si>
  <si>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</si>
  <si>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</si>
  <si>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</si>
  <si>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</si>
  <si>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</si>
  <si>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</si>
  <si>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</si>
  <si>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</si>
  <si>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</si>
  <si>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</si>
  <si>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</si>
  <si>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</si>
  <si>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</si>
  <si>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</si>
  <si>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</si>
  <si>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</si>
  <si>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</si>
  <si>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</si>
  <si>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</si>
  <si>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</si>
  <si>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</si>
  <si>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</si>
  <si>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</si>
  <si>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</si>
  <si>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</si>
  <si>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</si>
  <si>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</si>
  <si>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</si>
  <si>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</si>
  <si>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</si>
  <si>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</si>
  <si>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</si>
  <si>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</si>
  <si>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</si>
  <si>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</si>
  <si>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</si>
  <si>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</si>
  <si>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</si>
  <si>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</si>
  <si>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</si>
  <si>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</si>
  <si>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</si>
  <si>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</si>
  <si>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</si>
  <si>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</si>
  <si>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</si>
  <si>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</si>
  <si>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</si>
  <si>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</si>
  <si>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</si>
  <si>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</si>
  <si>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</si>
  <si>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</si>
  <si>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</si>
  <si>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</si>
  <si>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</si>
  <si>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</si>
  <si>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</si>
  <si>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</si>
  <si>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</si>
  <si>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</si>
  <si>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</si>
  <si>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</si>
  <si>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</si>
  <si>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</si>
  <si>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</si>
  <si>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</si>
  <si>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</si>
  <si>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</si>
  <si>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</si>
  <si>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</si>
  <si>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</si>
  <si>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</si>
  <si>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</si>
  <si>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</si>
  <si>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</si>
  <si>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</si>
  <si>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</si>
  <si>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</si>
  <si>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</si>
  <si>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</si>
  <si>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</si>
  <si>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</si>
  <si>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</si>
  <si>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</si>
  <si>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</si>
  <si>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</si>
  <si>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</si>
  <si>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</si>
  <si>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</si>
  <si>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</si>
  <si>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</si>
  <si>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</si>
  <si>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</si>
  <si>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</si>
  <si>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</si>
  <si>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</si>
  <si>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</si>
  <si>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</si>
  <si>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</si>
  <si>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</si>
  <si>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</si>
  <si>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</si>
  <si>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</si>
  <si>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</si>
  <si>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</si>
  <si>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</si>
  <si>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</si>
  <si>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</si>
  <si>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</si>
  <si>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</si>
  <si>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</si>
  <si>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</si>
  <si>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</si>
  <si>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</si>
  <si>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</si>
  <si>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</si>
  <si>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</si>
  <si>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</si>
  <si>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</si>
  <si>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</si>
  <si>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</si>
  <si>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</si>
  <si>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</si>
  <si>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</si>
  <si>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</si>
  <si>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</si>
  <si>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</si>
  <si>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</si>
  <si>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</si>
  <si>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</si>
  <si>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</si>
  <si>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</si>
  <si>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</si>
  <si>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</si>
  <si>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</si>
  <si>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</si>
  <si>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</si>
  <si>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</si>
  <si>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</si>
  <si>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</si>
  <si>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</si>
  <si>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</si>
  <si>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</si>
  <si>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</si>
  <si>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</si>
  <si>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</si>
  <si>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</si>
  <si>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</si>
  <si>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</si>
  <si>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</si>
  <si>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</si>
  <si>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</si>
  <si>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</si>
  <si>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</si>
  <si>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</si>
  <si>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</si>
  <si>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</si>
  <si>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</si>
  <si>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</si>
  <si>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</si>
  <si>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</si>
  <si>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</si>
  <si>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</si>
  <si>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</si>
  <si>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</si>
  <si>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</si>
  <si>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</si>
  <si>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</si>
  <si>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</si>
  <si>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</si>
  <si>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</si>
  <si>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</si>
  <si>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</si>
  <si>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</si>
  <si>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</si>
  <si>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</si>
  <si>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</si>
  <si>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</si>
  <si>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</si>
  <si>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</si>
  <si>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</si>
  <si>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</si>
  <si>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</si>
  <si>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</si>
  <si>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</si>
  <si>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</si>
  <si>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</si>
  <si>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</si>
  <si>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</si>
  <si>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</si>
  <si>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</si>
  <si>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</si>
  <si>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</si>
  <si>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</si>
  <si>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</si>
  <si>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</si>
  <si>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</si>
  <si>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</si>
  <si>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</si>
  <si>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</si>
  <si>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</si>
  <si>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</si>
  <si>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</si>
  <si>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</si>
  <si>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</si>
  <si>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</si>
  <si>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</si>
  <si>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</si>
  <si>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</si>
  <si>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</si>
  <si>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</si>
  <si>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</si>
  <si>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</si>
  <si>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</si>
  <si>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</si>
  <si>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</si>
  <si>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</si>
  <si>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</si>
  <si>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</si>
  <si>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</si>
  <si>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</si>
  <si>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</si>
  <si>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</si>
  <si>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</si>
  <si>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</si>
  <si>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</si>
  <si>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</si>
  <si>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</si>
  <si>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</si>
  <si>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</si>
  <si>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</si>
  <si>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</si>
  <si>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</si>
  <si>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To buy</t>
  </si>
  <si>
    <t>Day of week</t>
  </si>
  <si>
    <t>24 hours</t>
  </si>
  <si>
    <t>7 days</t>
  </si>
  <si>
    <t>14 days</t>
  </si>
  <si>
    <t>Any time</t>
  </si>
  <si>
    <t>24 hours2</t>
  </si>
  <si>
    <t>7 days3</t>
  </si>
  <si>
    <t>14 days4</t>
  </si>
  <si>
    <t>Any time5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</si>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</sst>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4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9" fontId="17" fillId="0" borderId="0" xfId="1" applyFont="1" applyBorder="1"/>
    <xf numFmtId="0" fontId="17" fillId="2" borderId="0" xfId="0" applyFont="1" applyFill="1"/>
    <xf numFmtId="0" fontId="32" fillId="2" borderId="0" xfId="0" applyFont="1" applyFill="1"/>
    <xf numFmtId="9" fontId="17" fillId="0" borderId="0" xfId="1" applyFont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2" fillId="2" borderId="0" xfId="0" applyFont="1" applyFill="1" applyAlignment="1">
      <alignment horizontal="left"/>
    </xf>
    <xf numFmtId="0" fontId="32" fillId="2" borderId="0" xfId="0" applyFont="1" applyFill="1" applyAlignment="1">
      <alignment horizontal="right"/>
    </xf>
    <xf numFmtId="174" fontId="32" fillId="2" borderId="0" xfId="48" applyNumberFormat="1" applyFont="1" applyFill="1" applyAlignment="1">
      <alignment horizontal="right"/>
    </xf>
    <xf numFmtId="9" fontId="32" fillId="2" borderId="0" xfId="1" applyFont="1" applyFill="1"/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174" fontId="17" fillId="0" borderId="1" xfId="48" applyNumberFormat="1" applyFont="1" applyFill="1" applyBorder="1"/>
    <xf numFmtId="174" fontId="17" fillId="0" borderId="1" xfId="0" applyNumberFormat="1" applyFont="1" applyBorder="1"/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6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298171</xdr:colOff>
      <xdr:row>3</xdr:row>
      <xdr:rowOff>114504</xdr:rowOff>
    </xdr:from>
    <xdr:to>
      <xdr:col>23</xdr:col>
      <xdr:colOff>280020</xdr:colOff>
      <xdr:row>32</xdr:row>
      <xdr:rowOff>115956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189769</xdr:rowOff>
    </xdr:from>
    <xdr:to>
      <xdr:col>23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383113</xdr:colOff>
      <xdr:row>6</xdr:row>
      <xdr:rowOff>148252</xdr:rowOff>
    </xdr:from>
    <xdr:to>
      <xdr:col>16</xdr:col>
      <xdr:colOff>592663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k Yu" refreshedDate="46085.512308449077" createdVersion="8" refreshedVersion="8" minRefreshableVersion="3" recordCount="36" xr:uid="{B2375D0B-E6FE-421E-A8ED-843D979D1C4C}">
  <cacheSource type="worksheet">
    <worksheetSource ref="B23:H59" sheet="Length of stay"/>
  </cacheSource>
  <cacheFields count="7">
    <cacheField name="ehsyear" numFmtId="0">
      <sharedItems containsSemiMixedTypes="0" containsString="0" containsNumber="1" containsInteger="1" minValue="2012" maxValue="2023" count="12"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tenure4" numFmtId="0">
      <sharedItems count="3">
        <s v="owners"/>
        <s v="social sector"/>
        <s v="private renters"/>
      </sharedItems>
    </cacheField>
    <cacheField name="0 - 1 year" numFmtId="9">
      <sharedItems containsSemiMixedTypes="0" containsString="0" containsNumber="1" minValue="6.1108285030292003E-2" maxValue="0.54123385859437301"/>
    </cacheField>
    <cacheField name="2 years" numFmtId="9">
      <sharedItems containsSemiMixedTypes="0" containsString="0" containsNumber="1" minValue="3.1584133783389499E-2" maxValue="0.19979536807099799"/>
    </cacheField>
    <cacheField name="3-4 years" numFmtId="9">
      <sharedItems containsSemiMixedTypes="0" containsString="0" containsNumber="1" minValue="6.4449112268438594E-2" maxValue="0.20862290906193501"/>
    </cacheField>
    <cacheField name="5-9 years" numFmtId="9">
      <sharedItems containsSemiMixedTypes="0" containsString="0" containsNumber="1" minValue="0.11206191941190501" maxValue="0.245346046092144"/>
    </cacheField>
    <cacheField name="10+ years" numFmtId="9">
      <sharedItems containsSemiMixedTypes="0" containsString="0" containsNumber="1" minValue="6.4564700201305905E-2" maxValue="0.62879892149481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n v="9.4165989882469395E-2"/>
    <n v="6.1131957057048797E-2"/>
    <n v="6.4449112268438594E-2"/>
    <n v="0.19330173164782899"/>
    <n v="0.586205978679882"/>
  </r>
  <r>
    <x v="0"/>
    <x v="1"/>
    <n v="0.13694591383707899"/>
    <n v="6.4904270970959493E-2"/>
    <n v="0.13414791142990401"/>
    <n v="0.20133145724969301"/>
    <n v="0.462670446512365"/>
  </r>
  <r>
    <x v="0"/>
    <x v="2"/>
    <n v="0.49967394789365399"/>
    <n v="0.12952859144432399"/>
    <n v="0.15444240218174801"/>
    <n v="0.14205037321663699"/>
    <n v="7.4304685263637302E-2"/>
  </r>
  <r>
    <x v="1"/>
    <x v="0"/>
    <n v="0.118847395646062"/>
    <n v="6.4709320045597804E-2"/>
    <n v="7.2293837844500899E-2"/>
    <n v="0.18041786636492399"/>
    <n v="0.563731580098915"/>
  </r>
  <r>
    <x v="1"/>
    <x v="1"/>
    <n v="0.13531918215483599"/>
    <n v="8.1648234924735302E-2"/>
    <n v="0.102369364123442"/>
    <n v="0.19424693473378499"/>
    <n v="0.48641628406320098"/>
  </r>
  <r>
    <x v="1"/>
    <x v="2"/>
    <n v="0.54123385859437301"/>
    <n v="0.13946892325539101"/>
    <n v="0.109737135569324"/>
    <n v="0.12233596589953299"/>
    <n v="8.7224116681379193E-2"/>
  </r>
  <r>
    <x v="2"/>
    <x v="0"/>
    <n v="7.7111299633605301E-2"/>
    <n v="6.0226343806446397E-2"/>
    <n v="7.8850664178912594E-2"/>
    <n v="0.16893575165716701"/>
    <n v="0.61487594072386897"/>
  </r>
  <r>
    <x v="2"/>
    <x v="1"/>
    <n v="9.4291302224529194E-2"/>
    <n v="8.8902564326562294E-2"/>
    <n v="0.15740581159113801"/>
    <n v="0.18647294552628799"/>
    <n v="0.47292737633148302"/>
  </r>
  <r>
    <x v="2"/>
    <x v="2"/>
    <n v="0.477014609305838"/>
    <n v="0.12970884941151301"/>
    <n v="0.18768805968048399"/>
    <n v="0.13755072005199601"/>
    <n v="6.8037761550169704E-2"/>
  </r>
  <r>
    <x v="3"/>
    <x v="0"/>
    <n v="9.22708274431705E-2"/>
    <n v="5.0773425670118298E-2"/>
    <n v="8.9340218408735905E-2"/>
    <n v="0.154562726183337"/>
    <n v="0.61182257180641697"/>
  </r>
  <r>
    <x v="3"/>
    <x v="1"/>
    <n v="7.7278931879753002E-2"/>
    <n v="5.8379352857405899E-2"/>
    <n v="0.13317945248534399"/>
    <n v="0.208762718940422"/>
    <n v="0.52239954383707499"/>
  </r>
  <r>
    <x v="3"/>
    <x v="2"/>
    <n v="0.40995840076620998"/>
    <n v="0.19979536807099799"/>
    <n v="0.15752999480796301"/>
    <n v="0.166058955554476"/>
    <n v="6.4564700201305905E-2"/>
  </r>
  <r>
    <x v="4"/>
    <x v="0"/>
    <n v="7.4278174272381606E-2"/>
    <n v="6.1472568820586097E-2"/>
    <n v="8.5436283454007597E-2"/>
    <n v="0.150014051958204"/>
    <n v="0.62879892149481997"/>
  </r>
  <r>
    <x v="4"/>
    <x v="1"/>
    <n v="0.11944394180052501"/>
    <n v="5.8762032083589898E-2"/>
    <n v="0.115881523362332"/>
    <n v="0.24514655878108499"/>
    <n v="0.46076594397246801"/>
  </r>
  <r>
    <x v="4"/>
    <x v="2"/>
    <n v="0.38444641925314998"/>
    <n v="0.197390337471609"/>
    <n v="0.18458587864675199"/>
    <n v="0.16453374333670601"/>
    <n v="6.9043621291782806E-2"/>
  </r>
  <r>
    <x v="5"/>
    <x v="0"/>
    <n v="6.3595027351123504E-2"/>
    <n v="6.5044815510147694E-2"/>
    <n v="0.137110691907909"/>
    <n v="0.15363073686110801"/>
    <n v="0.58061872836971196"/>
  </r>
  <r>
    <x v="5"/>
    <x v="1"/>
    <n v="7.6481321933041094E-2"/>
    <n v="3.76286741458048E-2"/>
    <n v="0.111566355777329"/>
    <n v="0.245346046092144"/>
    <n v="0.52897760205168198"/>
  </r>
  <r>
    <x v="5"/>
    <x v="2"/>
    <n v="0.417401425341899"/>
    <n v="0.17606045323192099"/>
    <n v="0.136792891000729"/>
    <n v="0.158781941474616"/>
    <n v="0.110963288950835"/>
  </r>
  <r>
    <x v="6"/>
    <x v="0"/>
    <n v="7.8067395921823393E-2"/>
    <n v="5.5638119192776302E-2"/>
    <n v="6.7555173079715494E-2"/>
    <n v="0.177182970497472"/>
    <n v="0.62155634130821302"/>
  </r>
  <r>
    <x v="6"/>
    <x v="1"/>
    <n v="0.111923222358933"/>
    <n v="6.2486670153619403E-2"/>
    <n v="0.10441828132818499"/>
    <n v="0.237766725987094"/>
    <n v="0.48340510017216898"/>
  </r>
  <r>
    <x v="6"/>
    <x v="2"/>
    <n v="0.41589419543466799"/>
    <n v="0.146292017413713"/>
    <n v="0.17168704062603099"/>
    <n v="0.14674859556088901"/>
    <n v="0.119378150964698"/>
  </r>
  <r>
    <x v="7"/>
    <x v="0"/>
    <n v="6.1108285030292003E-2"/>
    <n v="8.1465709719945906E-2"/>
    <n v="8.6600832934867394E-2"/>
    <n v="0.180852493970485"/>
    <n v="0.58997267834441003"/>
  </r>
  <r>
    <x v="7"/>
    <x v="1"/>
    <n v="8.9125695620937195E-2"/>
    <n v="4.8833062768770197E-2"/>
    <n v="8.6651898033114405E-2"/>
    <n v="0.21237710744574101"/>
    <n v="0.56301223613143703"/>
  </r>
  <r>
    <x v="7"/>
    <x v="2"/>
    <n v="0.39050857327183902"/>
    <n v="0.169531695010086"/>
    <n v="0.198839217252886"/>
    <n v="0.137837518008459"/>
    <n v="0.10328299645673"/>
  </r>
  <r>
    <x v="8"/>
    <x v="0"/>
    <n v="8.2370728683857003E-2"/>
    <n v="5.4995968380106397E-2"/>
    <n v="9.1588421508511597E-2"/>
    <n v="0.21976397491369301"/>
    <n v="0.55128090651383199"/>
  </r>
  <r>
    <x v="8"/>
    <x v="1"/>
    <n v="9.5973931053861206E-2"/>
    <n v="4.6681518461594497E-2"/>
    <n v="0.14145523682817901"/>
    <n v="0.140254846295395"/>
    <n v="0.57563446736097001"/>
  </r>
  <r>
    <x v="8"/>
    <x v="2"/>
    <n v="0.37215257966285398"/>
    <n v="0.15889576521935"/>
    <n v="0.199444346463612"/>
    <n v="0.18722847729350101"/>
    <n v="8.2278831360683397E-2"/>
  </r>
  <r>
    <x v="9"/>
    <x v="0"/>
    <n v="8.6933028361913398E-2"/>
    <n v="5.3534380649635498E-2"/>
    <n v="7.1280131792273396E-2"/>
    <n v="0.18880697191318499"/>
    <n v="0.59944548728299196"/>
  </r>
  <r>
    <x v="9"/>
    <x v="1"/>
    <n v="9.0179931722789194E-2"/>
    <n v="3.1584133783389499E-2"/>
    <n v="0.106807666498402"/>
    <n v="0.182900970305861"/>
    <n v="0.58852729768955803"/>
  </r>
  <r>
    <x v="9"/>
    <x v="2"/>
    <n v="0.42856159163630297"/>
    <n v="0.14746227705048601"/>
    <n v="0.187126925173005"/>
    <n v="0.11206191941190501"/>
    <n v="0.1247872867283"/>
  </r>
  <r>
    <x v="10"/>
    <x v="0"/>
    <n v="8.6365930742467206E-2"/>
    <n v="0.10214759508924499"/>
    <n v="0.10461679721077401"/>
    <n v="0.122646440234113"/>
    <n v="0.58422323672340104"/>
  </r>
  <r>
    <x v="10"/>
    <x v="1"/>
    <n v="6.8538352507047595E-2"/>
    <n v="6.21914315411186E-2"/>
    <n v="0.102689601569806"/>
    <n v="0.143392345552385"/>
    <n v="0.62318826882964296"/>
  </r>
  <r>
    <x v="10"/>
    <x v="2"/>
    <n v="0.43154627497965298"/>
    <n v="0.182889198375526"/>
    <n v="0.13883047781682201"/>
    <n v="0.13164925626486099"/>
    <n v="0.115084792563139"/>
  </r>
  <r>
    <x v="11"/>
    <x v="0"/>
    <n v="7.3814002297877199E-2"/>
    <n v="6.5720536994968895E-2"/>
    <n v="9.6907868839468003E-2"/>
    <n v="0.17647816855607901"/>
    <n v="0.58707942331160701"/>
  </r>
  <r>
    <x v="11"/>
    <x v="1"/>
    <n v="0.1046062011602"/>
    <n v="4.2303904556148103E-2"/>
    <n v="0.12530155625778899"/>
    <n v="0.181068408799089"/>
    <n v="0.54671992922677404"/>
  </r>
  <r>
    <x v="11"/>
    <x v="2"/>
    <n v="0.358119355716147"/>
    <n v="0.198638085374128"/>
    <n v="0.20862290906193501"/>
    <n v="0.136031915026844"/>
    <n v="9.858773482094650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63631-5B01-4091-9160-9B66C7F3574D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2:N56" firstHeaderRow="1" firstDataRow="2" firstDataCol="1"/>
  <pivotFields count="7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4">
        <item x="0"/>
        <item x="2"/>
        <item x="1"/>
        <item t="default"/>
      </items>
    </pivotField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10+ years" fld="6" subtotal="average" baseField="0" baseItem="8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K261" totalsRowShown="0" headerRowDxfId="24" dataDxfId="22" headerRowBorderDxfId="23" tableBorderDxfId="21">
  <autoFilter ref="B8:K261" xr:uid="{FE611FB1-BF03-40DE-8677-6AFFD2215778}"/>
  <tableColumns count="10">
    <tableColumn id="1" xr3:uid="{D29918B2-C26E-43FA-AB04-73DE539150C7}" name="Date" dataDxfId="20"/>
    <tableColumn id="2" xr3:uid="{76D3416A-F3E3-4B7B-B460-3DD309F13C94}" name="Day of week" dataDxfId="19">
      <calculatedColumnFormula>WEEKDAY(B9,2)</calculatedColumnFormula>
    </tableColumn>
    <tableColumn id="3" xr3:uid="{B5245C28-6BC8-40BB-8623-C7176F42B155}" name="24 hours" dataDxfId="18"/>
    <tableColumn id="4" xr3:uid="{1D667CD3-7DC1-4130-BD59-4A0CEF9434E5}" name="7 days" dataDxfId="17"/>
    <tableColumn id="5" xr3:uid="{669AC3E7-8FD6-404D-BB20-54199058DDE4}" name="14 days" dataDxfId="16"/>
    <tableColumn id="6" xr3:uid="{3A83037B-DEDE-49BE-830D-91A2CDA3A379}" name="Any time" dataDxfId="15"/>
    <tableColumn id="7" xr3:uid="{16C03960-2026-48FE-AD98-E75EB2D297AA}" name="24 hours2" dataDxfId="14"/>
    <tableColumn id="8" xr3:uid="{D355849F-A661-4E44-A49A-37F92C269683}" name="7 days3" dataDxfId="13"/>
    <tableColumn id="9" xr3:uid="{5D7266D6-491B-401B-9272-1A99A5947604}" name="14 days4" dataDxfId="12"/>
    <tableColumn id="10" xr3:uid="{8AAA9454-5504-45FD-9196-5EE9BBBBB5B7}" name="Any time5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public.tableau.com/app/profile/citizensadvice/viz/AdviceissuesDecember2025/OnlineTrends" TargetMode="Externa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2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3"/>
      <c r="F4" s="117"/>
    </row>
    <row r="5" spans="2:6" ht="18" thickBot="1" x14ac:dyDescent="0.25">
      <c r="B5" s="28" t="s">
        <v>5</v>
      </c>
      <c r="C5" s="22" t="s">
        <v>10</v>
      </c>
      <c r="D5" s="23"/>
      <c r="E5" s="184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6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8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6" t="s">
        <v>32</v>
      </c>
      <c r="C15" s="21" t="s">
        <v>6</v>
      </c>
      <c r="D15" s="176" t="s">
        <v>7</v>
      </c>
      <c r="E15" s="182"/>
      <c r="F15" s="116" t="s">
        <v>8</v>
      </c>
    </row>
    <row r="16" spans="2:6" ht="18" thickBot="1" x14ac:dyDescent="0.25">
      <c r="B16" s="178"/>
      <c r="C16" s="22" t="s">
        <v>33</v>
      </c>
      <c r="D16" s="178"/>
      <c r="E16" s="184"/>
      <c r="F16" s="118"/>
    </row>
    <row r="17" spans="2:6" ht="17" x14ac:dyDescent="0.2">
      <c r="B17" s="176" t="s">
        <v>34</v>
      </c>
      <c r="C17" s="21" t="s">
        <v>6</v>
      </c>
      <c r="D17" s="21" t="s">
        <v>7</v>
      </c>
      <c r="E17" s="182"/>
      <c r="F17" s="116"/>
    </row>
    <row r="18" spans="2:6" ht="18" thickBot="1" x14ac:dyDescent="0.25">
      <c r="B18" s="178"/>
      <c r="C18" s="80" t="s">
        <v>35</v>
      </c>
      <c r="D18" s="80" t="s">
        <v>7</v>
      </c>
      <c r="E18" s="184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1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2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5"/>
      <c r="F27" s="116"/>
    </row>
    <row r="28" spans="2:6" ht="17" x14ac:dyDescent="0.2">
      <c r="B28" s="20"/>
      <c r="C28" s="21" t="s">
        <v>56</v>
      </c>
      <c r="D28" s="21" t="s">
        <v>57</v>
      </c>
      <c r="E28" s="186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7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8" t="s">
        <v>64</v>
      </c>
      <c r="C32" s="189"/>
      <c r="D32" s="189"/>
      <c r="E32" s="190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6" t="s">
        <v>68</v>
      </c>
      <c r="C34" s="21" t="s">
        <v>69</v>
      </c>
      <c r="D34" s="176" t="s">
        <v>70</v>
      </c>
      <c r="E34" s="179"/>
      <c r="F34" s="51"/>
    </row>
    <row r="35" spans="2:6" ht="17" x14ac:dyDescent="0.2">
      <c r="B35" s="177"/>
      <c r="C35" s="21" t="s">
        <v>71</v>
      </c>
      <c r="D35" s="177"/>
      <c r="E35" s="180"/>
      <c r="F35" s="51"/>
    </row>
    <row r="36" spans="2:6" ht="18" thickBot="1" x14ac:dyDescent="0.25">
      <c r="B36" s="178"/>
      <c r="C36" s="22" t="s">
        <v>72</v>
      </c>
      <c r="D36" s="178"/>
      <c r="E36" s="181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67" t="s">
        <v>91</v>
      </c>
      <c r="C7" s="167" t="s">
        <v>92</v>
      </c>
      <c r="D7" s="167" t="s">
        <v>93</v>
      </c>
    </row>
    <row r="8" spans="2:5" ht="17" x14ac:dyDescent="0.2">
      <c r="B8" s="168" t="s">
        <v>94</v>
      </c>
      <c r="C8" s="98">
        <v>3823.85207557678</v>
      </c>
      <c r="D8" s="103">
        <v>2.99892817402528E-2</v>
      </c>
    </row>
    <row r="9" spans="2:5" ht="17" x14ac:dyDescent="0.2">
      <c r="B9" s="168" t="s">
        <v>95</v>
      </c>
      <c r="C9" s="98">
        <v>15860.7464766502</v>
      </c>
      <c r="D9" s="103">
        <v>0.12439089831351299</v>
      </c>
    </row>
    <row r="10" spans="2:5" ht="34" x14ac:dyDescent="0.2">
      <c r="B10" s="168" t="s">
        <v>96</v>
      </c>
      <c r="C10" s="98">
        <v>48412.370315551801</v>
      </c>
      <c r="D10" s="103">
        <v>0.37968315311662199</v>
      </c>
    </row>
    <row r="11" spans="2:5" ht="17" x14ac:dyDescent="0.2">
      <c r="B11" s="168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68" t="s">
        <v>98</v>
      </c>
      <c r="C12" s="98">
        <v>51466.912614822402</v>
      </c>
      <c r="D12" s="103">
        <v>0.40363897771177998</v>
      </c>
    </row>
    <row r="13" spans="2:5" ht="17" x14ac:dyDescent="0.2">
      <c r="B13" s="168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43"/>
  <sheetViews>
    <sheetView zoomScale="70" zoomScaleNormal="70"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62">
        <v>0.52942466844196701</v>
      </c>
      <c r="D9" s="162">
        <v>0.25530840178376801</v>
      </c>
      <c r="E9" s="162">
        <v>0.21526692977426501</v>
      </c>
    </row>
    <row r="10" spans="2:5" x14ac:dyDescent="0.2">
      <c r="B10" s="92">
        <v>2009</v>
      </c>
      <c r="C10" s="162">
        <v>0.53455103881893395</v>
      </c>
      <c r="D10" s="162">
        <v>0.234982210029616</v>
      </c>
      <c r="E10" s="162">
        <v>0.23046675115144899</v>
      </c>
    </row>
    <row r="11" spans="2:5" x14ac:dyDescent="0.2">
      <c r="B11" s="92">
        <v>2010</v>
      </c>
      <c r="C11" s="162">
        <v>0.50699279440617795</v>
      </c>
      <c r="D11" s="162">
        <v>0.23929539738421801</v>
      </c>
      <c r="E11" s="162">
        <v>0.25371180820960398</v>
      </c>
    </row>
    <row r="12" spans="2:5" x14ac:dyDescent="0.2">
      <c r="B12" s="92">
        <v>2011</v>
      </c>
      <c r="C12" s="162">
        <v>0.49234645304137797</v>
      </c>
      <c r="D12" s="162">
        <v>0.247151909185582</v>
      </c>
      <c r="E12" s="162">
        <v>0.26050163777303997</v>
      </c>
    </row>
    <row r="13" spans="2:5" x14ac:dyDescent="0.2">
      <c r="B13" s="92">
        <v>2012</v>
      </c>
      <c r="C13" s="162">
        <v>0.506981772213288</v>
      </c>
      <c r="D13" s="162">
        <v>0.25158256792591399</v>
      </c>
      <c r="E13" s="162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  <row r="27" spans="2:8" x14ac:dyDescent="0.2">
      <c r="B27" s="94" t="s">
        <v>111</v>
      </c>
      <c r="C27" s="96" t="s">
        <v>112</v>
      </c>
      <c r="D27" s="96" t="s">
        <v>113</v>
      </c>
      <c r="E27" s="96" t="s">
        <v>114</v>
      </c>
    </row>
    <row r="28" spans="2:8" x14ac:dyDescent="0.2">
      <c r="B28" s="92">
        <v>2008</v>
      </c>
      <c r="C28" s="170">
        <v>1636787.08338482</v>
      </c>
      <c r="D28" s="170">
        <v>789320.02837925602</v>
      </c>
      <c r="E28" s="170">
        <v>665526.46889563103</v>
      </c>
    </row>
    <row r="29" spans="2:8" x14ac:dyDescent="0.2">
      <c r="B29" s="92">
        <v>2009</v>
      </c>
      <c r="C29" s="170">
        <v>1616843.3657980501</v>
      </c>
      <c r="D29" s="170">
        <v>710744.90511960594</v>
      </c>
      <c r="E29" s="170">
        <v>697087.10782707995</v>
      </c>
    </row>
    <row r="30" spans="2:8" x14ac:dyDescent="0.2">
      <c r="B30" s="92">
        <v>2010</v>
      </c>
      <c r="C30" s="170">
        <v>1602958.49930471</v>
      </c>
      <c r="D30" s="170">
        <v>756579.96585692</v>
      </c>
      <c r="E30" s="170">
        <v>802160.31436875102</v>
      </c>
    </row>
    <row r="31" spans="2:8" x14ac:dyDescent="0.2">
      <c r="B31" s="92">
        <v>2011</v>
      </c>
      <c r="C31" s="170">
        <v>1522699.10299694</v>
      </c>
      <c r="D31" s="170">
        <v>764376.36159681599</v>
      </c>
      <c r="E31" s="170">
        <v>805663.58854809403</v>
      </c>
    </row>
    <row r="32" spans="2:8" x14ac:dyDescent="0.2">
      <c r="B32" s="92">
        <v>2012</v>
      </c>
      <c r="C32" s="170">
        <v>1610084.1904408301</v>
      </c>
      <c r="D32" s="170">
        <v>798981.61513705598</v>
      </c>
      <c r="E32" s="170">
        <v>766756.83477429103</v>
      </c>
    </row>
    <row r="33" spans="2:5" x14ac:dyDescent="0.2">
      <c r="B33" s="92">
        <v>2013</v>
      </c>
      <c r="C33" s="169">
        <v>1651375.38273341</v>
      </c>
      <c r="D33" s="169">
        <v>763703.98350533505</v>
      </c>
      <c r="E33" s="169">
        <v>1014235.98921624</v>
      </c>
    </row>
    <row r="34" spans="2:5" x14ac:dyDescent="0.2">
      <c r="B34" s="92">
        <v>2014</v>
      </c>
      <c r="C34" s="169">
        <v>1635952.0859175599</v>
      </c>
      <c r="D34" s="169">
        <v>768270.37342532398</v>
      </c>
      <c r="E34" s="169">
        <v>898273.50253976695</v>
      </c>
    </row>
    <row r="35" spans="2:5" x14ac:dyDescent="0.2">
      <c r="B35" s="92">
        <v>2015</v>
      </c>
      <c r="C35" s="169">
        <v>1676427.8255169</v>
      </c>
      <c r="D35" s="169">
        <v>764376.53004667303</v>
      </c>
      <c r="E35" s="169">
        <v>953886.26712905301</v>
      </c>
    </row>
    <row r="36" spans="2:5" x14ac:dyDescent="0.2">
      <c r="B36" s="92">
        <v>2016</v>
      </c>
      <c r="C36" s="98">
        <v>1638304.6448673501</v>
      </c>
      <c r="D36" s="98">
        <v>775182.38343047898</v>
      </c>
      <c r="E36" s="98">
        <v>1035279.20852649</v>
      </c>
    </row>
    <row r="37" spans="2:5" x14ac:dyDescent="0.2">
      <c r="B37" s="92">
        <v>2017</v>
      </c>
      <c r="C37" s="98">
        <v>1662561.1681899701</v>
      </c>
      <c r="D37" s="98">
        <v>779201.04922712198</v>
      </c>
      <c r="E37" s="98">
        <v>996934.38041714299</v>
      </c>
    </row>
    <row r="38" spans="2:5" x14ac:dyDescent="0.2">
      <c r="B38" s="92">
        <v>2018</v>
      </c>
      <c r="C38" s="98">
        <v>1759277.4847003999</v>
      </c>
      <c r="D38" s="98">
        <v>800375.35140359902</v>
      </c>
      <c r="E38" s="98">
        <v>960165.90829035395</v>
      </c>
    </row>
    <row r="39" spans="2:5" x14ac:dyDescent="0.2">
      <c r="B39" s="92">
        <v>2019</v>
      </c>
      <c r="C39" s="98">
        <v>1750917.6113082699</v>
      </c>
      <c r="D39" s="98">
        <v>785188.770617284</v>
      </c>
      <c r="E39" s="98">
        <v>993739.31305825</v>
      </c>
    </row>
    <row r="40" spans="2:5" x14ac:dyDescent="0.2">
      <c r="B40" s="92">
        <v>2020</v>
      </c>
      <c r="C40" s="98">
        <v>1798845.5436534099</v>
      </c>
      <c r="D40" s="98">
        <v>797817.82176031498</v>
      </c>
      <c r="E40" s="98">
        <v>949607.00752314203</v>
      </c>
    </row>
    <row r="41" spans="2:5" x14ac:dyDescent="0.2">
      <c r="B41" s="92">
        <v>2021</v>
      </c>
      <c r="C41" s="98">
        <v>1805642.46369106</v>
      </c>
      <c r="D41" s="98">
        <v>806192.31357205496</v>
      </c>
      <c r="E41" s="98">
        <v>1078330.7077127399</v>
      </c>
    </row>
    <row r="42" spans="2:5" x14ac:dyDescent="0.2">
      <c r="B42" s="92">
        <v>2022</v>
      </c>
      <c r="C42" s="98">
        <v>1805015.6956364501</v>
      </c>
      <c r="D42" s="98">
        <v>772047.02709353797</v>
      </c>
      <c r="E42" s="98">
        <v>1142276.7674660699</v>
      </c>
    </row>
    <row r="43" spans="2:5" x14ac:dyDescent="0.2">
      <c r="B43" s="92">
        <v>2023</v>
      </c>
      <c r="C43" s="98">
        <v>1784648.2547452301</v>
      </c>
      <c r="D43" s="98">
        <v>780547.43640209001</v>
      </c>
      <c r="E43" s="98">
        <v>1193878.4698990299</v>
      </c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A2" sqref="A1:XFD1048576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73" t="s">
        <v>116</v>
      </c>
      <c r="C7" s="173" t="s">
        <v>117</v>
      </c>
      <c r="D7" s="173" t="s">
        <v>111</v>
      </c>
      <c r="E7" s="173" t="s">
        <v>118</v>
      </c>
      <c r="F7" s="173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72">
        <v>454745.73397266801</v>
      </c>
      <c r="F8" s="171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72">
        <v>462662.80232207698</v>
      </c>
      <c r="F9" s="171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72">
        <v>449871.58962979598</v>
      </c>
      <c r="F10" s="171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72">
        <v>446977.38465294399</v>
      </c>
      <c r="F11" s="171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72">
        <v>428648.374995502</v>
      </c>
      <c r="F12" s="171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72">
        <v>447408.979547825</v>
      </c>
      <c r="F13" s="171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72">
        <v>436967.15379841201</v>
      </c>
      <c r="F14" s="171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72">
        <v>433457.598885593</v>
      </c>
      <c r="F15" s="171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72">
        <v>395272.27437643602</v>
      </c>
      <c r="F16" s="171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72">
        <v>513000.39567927702</v>
      </c>
      <c r="F17" s="171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72">
        <v>557280.251698212</v>
      </c>
      <c r="F18" s="171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72">
        <v>473117.20977893798</v>
      </c>
      <c r="F19" s="171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72">
        <v>426310.93348012498</v>
      </c>
      <c r="F20" s="171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72">
        <v>508247.757032272</v>
      </c>
      <c r="F21" s="171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72">
        <v>451139.65921133</v>
      </c>
      <c r="F22" s="171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72">
        <v>420132.08169038501</v>
      </c>
      <c r="F23" s="171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71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71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71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71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71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71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71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71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71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71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71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71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71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71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71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71">
        <v>0.26748594828143002</v>
      </c>
    </row>
    <row r="56" spans="2:6" x14ac:dyDescent="0.2">
      <c r="E56" s="16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U285"/>
  <sheetViews>
    <sheetView zoomScale="78" zoomScaleNormal="85" workbookViewId="0">
      <selection activeCell="N35" sqref="N35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2.140625" style="52" bestFit="1" customWidth="1"/>
    <col min="14" max="14" width="11.28515625" style="52" bestFit="1" customWidth="1"/>
    <col min="15" max="15" width="18.85546875" style="52" bestFit="1" customWidth="1"/>
    <col min="16" max="16" width="14" style="52" bestFit="1" customWidth="1"/>
    <col min="17" max="17" width="24" style="52" bestFit="1" customWidth="1"/>
    <col min="18" max="18" width="19" style="52" bestFit="1" customWidth="1"/>
    <col min="19" max="21" width="15.28515625" style="52" bestFit="1" customWidth="1"/>
    <col min="22" max="22" width="10.7109375" style="52" bestFit="1" customWidth="1"/>
    <col min="23" max="16384" width="8.85546875" style="52"/>
  </cols>
  <sheetData>
    <row r="2" spans="2:13" x14ac:dyDescent="0.2">
      <c r="B2" s="52" t="s">
        <v>1</v>
      </c>
      <c r="C2" s="52" t="s">
        <v>123</v>
      </c>
    </row>
    <row r="3" spans="2:13" x14ac:dyDescent="0.2">
      <c r="B3" s="52" t="s">
        <v>85</v>
      </c>
      <c r="C3" s="53">
        <v>46327</v>
      </c>
    </row>
    <row r="4" spans="2:13" x14ac:dyDescent="0.2">
      <c r="B4" s="52" t="s">
        <v>87</v>
      </c>
      <c r="C4" s="54" t="s">
        <v>101</v>
      </c>
    </row>
    <row r="5" spans="2:13" x14ac:dyDescent="0.2">
      <c r="B5" s="52" t="s">
        <v>89</v>
      </c>
      <c r="C5" s="52" t="s">
        <v>124</v>
      </c>
    </row>
    <row r="7" spans="2:13" x14ac:dyDescent="0.2">
      <c r="H7" s="152" t="s">
        <v>125</v>
      </c>
      <c r="I7" s="152"/>
      <c r="J7" s="152"/>
      <c r="K7" s="152"/>
      <c r="L7" s="152"/>
    </row>
    <row r="8" spans="2:13" x14ac:dyDescent="0.2">
      <c r="B8" s="94" t="s">
        <v>111</v>
      </c>
      <c r="C8" s="95" t="s">
        <v>126</v>
      </c>
      <c r="D8" s="102" t="s">
        <v>127</v>
      </c>
      <c r="E8" s="163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63" t="s">
        <v>129</v>
      </c>
      <c r="L8" s="95" t="s">
        <v>131</v>
      </c>
    </row>
    <row r="9" spans="2:13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64"/>
      <c r="J9" s="165"/>
      <c r="K9" s="165"/>
      <c r="L9" s="165"/>
    </row>
    <row r="10" spans="2:13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64"/>
      <c r="J10" s="165"/>
      <c r="K10" s="165"/>
      <c r="L10" s="165"/>
    </row>
    <row r="11" spans="2:13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  <c r="M11" s="151"/>
    </row>
    <row r="12" spans="2:13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  <c r="M12" s="151"/>
    </row>
    <row r="13" spans="2:13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  <c r="M13" s="151"/>
    </row>
    <row r="14" spans="2:13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  <c r="M14" s="151"/>
    </row>
    <row r="15" spans="2:13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  <c r="M15" s="151"/>
    </row>
    <row r="16" spans="2:13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  <c r="M16" s="151"/>
    </row>
    <row r="17" spans="2:13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  <c r="M17" s="151"/>
    </row>
    <row r="18" spans="2:13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  <c r="M18" s="151"/>
    </row>
    <row r="19" spans="2:13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  <c r="M19" s="151"/>
    </row>
    <row r="20" spans="2:13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  <c r="M20" s="151"/>
    </row>
    <row r="21" spans="2:13" x14ac:dyDescent="0.2">
      <c r="B21" s="90"/>
      <c r="C21" s="78"/>
      <c r="D21" s="78"/>
      <c r="E21" s="154"/>
      <c r="F21" s="89"/>
    </row>
    <row r="22" spans="2:13" x14ac:dyDescent="0.2">
      <c r="B22" s="90"/>
      <c r="C22" s="78"/>
      <c r="D22" s="78"/>
      <c r="E22" s="91"/>
      <c r="F22" s="89"/>
    </row>
    <row r="23" spans="2:13" x14ac:dyDescent="0.2">
      <c r="B23" s="158" t="s">
        <v>111</v>
      </c>
      <c r="C23" s="159" t="s">
        <v>132</v>
      </c>
      <c r="D23" s="159" t="s">
        <v>126</v>
      </c>
      <c r="E23" s="160" t="s">
        <v>127</v>
      </c>
      <c r="F23" s="161" t="s">
        <v>128</v>
      </c>
      <c r="G23" s="153" t="s">
        <v>129</v>
      </c>
      <c r="H23" s="153" t="s">
        <v>130</v>
      </c>
    </row>
    <row r="24" spans="2:13" x14ac:dyDescent="0.2">
      <c r="B24" s="90">
        <v>2012</v>
      </c>
      <c r="C24" s="78" t="s">
        <v>112</v>
      </c>
      <c r="D24" s="154">
        <v>9.4165989882469395E-2</v>
      </c>
      <c r="E24" s="154">
        <v>6.1131957057048797E-2</v>
      </c>
      <c r="F24" s="89">
        <v>6.4449112268438594E-2</v>
      </c>
      <c r="G24" s="89">
        <v>0.19330173164782899</v>
      </c>
      <c r="H24" s="89">
        <v>0.586205978679882</v>
      </c>
    </row>
    <row r="25" spans="2:13" x14ac:dyDescent="0.2">
      <c r="B25" s="90">
        <v>2012</v>
      </c>
      <c r="C25" s="78" t="s">
        <v>113</v>
      </c>
      <c r="D25" s="154">
        <v>0.13694591383707899</v>
      </c>
      <c r="E25" s="154">
        <v>6.4904270970959493E-2</v>
      </c>
      <c r="F25" s="89">
        <v>0.13414791142990401</v>
      </c>
      <c r="G25" s="89">
        <v>0.20133145724969301</v>
      </c>
      <c r="H25" s="89">
        <v>0.462670446512365</v>
      </c>
    </row>
    <row r="26" spans="2:13" x14ac:dyDescent="0.2">
      <c r="B26" s="90">
        <v>2012</v>
      </c>
      <c r="C26" s="78" t="s">
        <v>114</v>
      </c>
      <c r="D26" s="154">
        <v>0.49967394789365399</v>
      </c>
      <c r="E26" s="154">
        <v>0.12952859144432399</v>
      </c>
      <c r="F26" s="89">
        <v>0.15444240218174801</v>
      </c>
      <c r="G26" s="89">
        <v>0.14205037321663699</v>
      </c>
      <c r="H26" s="89">
        <v>7.4304685263637302E-2</v>
      </c>
    </row>
    <row r="27" spans="2:13" x14ac:dyDescent="0.2">
      <c r="B27" s="90">
        <v>2013</v>
      </c>
      <c r="C27" s="78" t="s">
        <v>112</v>
      </c>
      <c r="D27" s="154">
        <v>0.118847395646062</v>
      </c>
      <c r="E27" s="154">
        <v>6.4709320045597804E-2</v>
      </c>
      <c r="F27" s="89">
        <v>7.2293837844500899E-2</v>
      </c>
      <c r="G27" s="89">
        <v>0.18041786636492399</v>
      </c>
      <c r="H27" s="89">
        <v>0.563731580098915</v>
      </c>
    </row>
    <row r="28" spans="2:13" x14ac:dyDescent="0.2">
      <c r="B28" s="90">
        <v>2013</v>
      </c>
      <c r="C28" s="78" t="s">
        <v>113</v>
      </c>
      <c r="D28" s="154">
        <v>0.13531918215483599</v>
      </c>
      <c r="E28" s="154">
        <v>8.1648234924735302E-2</v>
      </c>
      <c r="F28" s="89">
        <v>0.102369364123442</v>
      </c>
      <c r="G28" s="89">
        <v>0.19424693473378499</v>
      </c>
      <c r="H28" s="89">
        <v>0.48641628406320098</v>
      </c>
    </row>
    <row r="29" spans="2:13" x14ac:dyDescent="0.2">
      <c r="B29" s="90">
        <v>2013</v>
      </c>
      <c r="C29" s="78" t="s">
        <v>114</v>
      </c>
      <c r="D29" s="154">
        <v>0.54123385859437301</v>
      </c>
      <c r="E29" s="154">
        <v>0.13946892325539101</v>
      </c>
      <c r="F29" s="89">
        <v>0.109737135569324</v>
      </c>
      <c r="G29" s="89">
        <v>0.12233596589953299</v>
      </c>
      <c r="H29" s="89">
        <v>8.7224116681379193E-2</v>
      </c>
    </row>
    <row r="30" spans="2:13" x14ac:dyDescent="0.2">
      <c r="B30" s="90">
        <v>2014</v>
      </c>
      <c r="C30" s="78" t="s">
        <v>112</v>
      </c>
      <c r="D30" s="154">
        <v>7.7111299633605301E-2</v>
      </c>
      <c r="E30" s="154">
        <v>6.0226343806446397E-2</v>
      </c>
      <c r="F30" s="89">
        <v>7.8850664178912594E-2</v>
      </c>
      <c r="G30" s="89">
        <v>0.16893575165716701</v>
      </c>
      <c r="H30" s="89">
        <v>0.61487594072386897</v>
      </c>
    </row>
    <row r="31" spans="2:13" x14ac:dyDescent="0.2">
      <c r="B31" s="90">
        <v>2014</v>
      </c>
      <c r="C31" s="78" t="s">
        <v>113</v>
      </c>
      <c r="D31" s="154">
        <v>9.4291302224529194E-2</v>
      </c>
      <c r="E31" s="154">
        <v>8.8902564326562294E-2</v>
      </c>
      <c r="F31" s="89">
        <v>0.15740581159113801</v>
      </c>
      <c r="G31" s="89">
        <v>0.18647294552628799</v>
      </c>
      <c r="H31" s="89">
        <v>0.47292737633148302</v>
      </c>
    </row>
    <row r="32" spans="2:13" x14ac:dyDescent="0.2">
      <c r="B32" s="90">
        <v>2014</v>
      </c>
      <c r="C32" s="78" t="s">
        <v>114</v>
      </c>
      <c r="D32" s="154">
        <v>0.477014609305838</v>
      </c>
      <c r="E32" s="154">
        <v>0.12970884941151301</v>
      </c>
      <c r="F32" s="89">
        <v>0.18768805968048399</v>
      </c>
      <c r="G32" s="89">
        <v>0.13755072005199601</v>
      </c>
      <c r="H32" s="89">
        <v>6.8037761550169704E-2</v>
      </c>
    </row>
    <row r="33" spans="2:21" x14ac:dyDescent="0.2">
      <c r="B33" s="90">
        <v>2015</v>
      </c>
      <c r="C33" s="78" t="s">
        <v>112</v>
      </c>
      <c r="D33" s="154">
        <v>9.22708274431705E-2</v>
      </c>
      <c r="E33" s="154">
        <v>5.0773425670118298E-2</v>
      </c>
      <c r="F33" s="89">
        <v>8.9340218408735905E-2</v>
      </c>
      <c r="G33" s="89">
        <v>0.154562726183337</v>
      </c>
      <c r="H33" s="89">
        <v>0.61182257180641697</v>
      </c>
    </row>
    <row r="34" spans="2:21" x14ac:dyDescent="0.2">
      <c r="B34" s="90">
        <v>2015</v>
      </c>
      <c r="C34" s="78" t="s">
        <v>113</v>
      </c>
      <c r="D34" s="154">
        <v>7.7278931879753002E-2</v>
      </c>
      <c r="E34" s="154">
        <v>5.8379352857405899E-2</v>
      </c>
      <c r="F34" s="89">
        <v>0.13317945248534399</v>
      </c>
      <c r="G34" s="89">
        <v>0.208762718940422</v>
      </c>
      <c r="H34" s="89">
        <v>0.52239954383707499</v>
      </c>
    </row>
    <row r="35" spans="2:21" x14ac:dyDescent="0.2">
      <c r="B35" s="90">
        <v>2015</v>
      </c>
      <c r="C35" s="78" t="s">
        <v>114</v>
      </c>
      <c r="D35" s="154">
        <v>0.40995840076620998</v>
      </c>
      <c r="E35" s="154">
        <v>0.19979536807099799</v>
      </c>
      <c r="F35" s="89">
        <v>0.15752999480796301</v>
      </c>
      <c r="G35" s="89">
        <v>0.166058955554476</v>
      </c>
      <c r="H35" s="89">
        <v>6.4564700201305905E-2</v>
      </c>
    </row>
    <row r="36" spans="2:21" x14ac:dyDescent="0.2">
      <c r="B36" s="90">
        <v>2016</v>
      </c>
      <c r="C36" s="78" t="s">
        <v>112</v>
      </c>
      <c r="D36" s="154">
        <v>7.4278174272381606E-2</v>
      </c>
      <c r="E36" s="154">
        <v>6.1472568820586097E-2</v>
      </c>
      <c r="F36" s="89">
        <v>8.5436283454007597E-2</v>
      </c>
      <c r="G36" s="89">
        <v>0.150014051958204</v>
      </c>
      <c r="H36" s="89">
        <v>0.62879892149481997</v>
      </c>
    </row>
    <row r="37" spans="2:21" x14ac:dyDescent="0.2">
      <c r="B37" s="90">
        <v>2016</v>
      </c>
      <c r="C37" s="78" t="s">
        <v>113</v>
      </c>
      <c r="D37" s="154">
        <v>0.11944394180052501</v>
      </c>
      <c r="E37" s="154">
        <v>5.8762032083589898E-2</v>
      </c>
      <c r="F37" s="89">
        <v>0.115881523362332</v>
      </c>
      <c r="G37" s="89">
        <v>0.24514655878108499</v>
      </c>
      <c r="H37" s="89">
        <v>0.46076594397246801</v>
      </c>
    </row>
    <row r="38" spans="2:21" x14ac:dyDescent="0.2">
      <c r="B38" s="90">
        <v>2016</v>
      </c>
      <c r="C38" s="78" t="s">
        <v>114</v>
      </c>
      <c r="D38" s="154">
        <v>0.38444641925314998</v>
      </c>
      <c r="E38" s="154">
        <v>0.197390337471609</v>
      </c>
      <c r="F38" s="89">
        <v>0.18458587864675199</v>
      </c>
      <c r="G38" s="89">
        <v>0.16453374333670601</v>
      </c>
      <c r="H38" s="89">
        <v>6.9043621291782806E-2</v>
      </c>
    </row>
    <row r="39" spans="2:21" x14ac:dyDescent="0.2">
      <c r="B39" s="90">
        <v>2017</v>
      </c>
      <c r="C39" s="78" t="s">
        <v>112</v>
      </c>
      <c r="D39" s="154">
        <v>6.3595027351123504E-2</v>
      </c>
      <c r="E39" s="154">
        <v>6.5044815510147694E-2</v>
      </c>
      <c r="F39" s="89">
        <v>0.137110691907909</v>
      </c>
      <c r="G39" s="89">
        <v>0.15363073686110801</v>
      </c>
      <c r="H39" s="89">
        <v>0.58061872836971196</v>
      </c>
    </row>
    <row r="40" spans="2:21" x14ac:dyDescent="0.2">
      <c r="B40" s="90">
        <v>2017</v>
      </c>
      <c r="C40" s="78" t="s">
        <v>113</v>
      </c>
      <c r="D40" s="154">
        <v>7.6481321933041094E-2</v>
      </c>
      <c r="E40" s="154">
        <v>3.76286741458048E-2</v>
      </c>
      <c r="F40" s="89">
        <v>0.111566355777329</v>
      </c>
      <c r="G40" s="89">
        <v>0.245346046092144</v>
      </c>
      <c r="H40" s="89">
        <v>0.52897760205168198</v>
      </c>
      <c r="I40"/>
      <c r="J40"/>
      <c r="K40"/>
      <c r="L40"/>
      <c r="M40"/>
      <c r="N40"/>
      <c r="O40"/>
      <c r="P40"/>
      <c r="Q40"/>
      <c r="R40"/>
      <c r="S40"/>
      <c r="T40"/>
      <c r="U40"/>
    </row>
    <row r="41" spans="2:21" x14ac:dyDescent="0.2">
      <c r="B41" s="90">
        <v>2017</v>
      </c>
      <c r="C41" s="78" t="s">
        <v>114</v>
      </c>
      <c r="D41" s="154">
        <v>0.417401425341899</v>
      </c>
      <c r="E41" s="154">
        <v>0.17606045323192099</v>
      </c>
      <c r="F41" s="89">
        <v>0.136792891000729</v>
      </c>
      <c r="G41" s="89">
        <v>0.158781941474616</v>
      </c>
      <c r="H41" s="89">
        <v>0.110963288950835</v>
      </c>
      <c r="I41"/>
      <c r="J41"/>
      <c r="K41"/>
      <c r="L41"/>
      <c r="M41"/>
      <c r="N41"/>
      <c r="O41"/>
      <c r="P41"/>
      <c r="Q41"/>
      <c r="R41"/>
      <c r="S41"/>
      <c r="T41"/>
      <c r="U41"/>
    </row>
    <row r="42" spans="2:21" x14ac:dyDescent="0.2">
      <c r="B42" s="90">
        <v>2018</v>
      </c>
      <c r="C42" s="78" t="s">
        <v>112</v>
      </c>
      <c r="D42" s="154">
        <v>7.8067395921823393E-2</v>
      </c>
      <c r="E42" s="154">
        <v>5.5638119192776302E-2</v>
      </c>
      <c r="F42" s="89">
        <v>6.7555173079715494E-2</v>
      </c>
      <c r="G42" s="89">
        <v>0.177182970497472</v>
      </c>
      <c r="H42" s="89">
        <v>0.62155634130821302</v>
      </c>
      <c r="I42"/>
      <c r="J42" s="155" t="s">
        <v>133</v>
      </c>
      <c r="K42" s="155" t="s">
        <v>134</v>
      </c>
      <c r="L42"/>
      <c r="M42"/>
      <c r="N42"/>
      <c r="O42"/>
      <c r="P42"/>
      <c r="Q42"/>
      <c r="R42"/>
    </row>
    <row r="43" spans="2:21" x14ac:dyDescent="0.2">
      <c r="B43" s="90">
        <v>2018</v>
      </c>
      <c r="C43" s="78" t="s">
        <v>113</v>
      </c>
      <c r="D43" s="154">
        <v>0.111923222358933</v>
      </c>
      <c r="E43" s="154">
        <v>6.2486670153619403E-2</v>
      </c>
      <c r="F43" s="89">
        <v>0.10441828132818499</v>
      </c>
      <c r="G43" s="89">
        <v>0.237766725987094</v>
      </c>
      <c r="H43" s="89">
        <v>0.48340510017216898</v>
      </c>
      <c r="I43"/>
      <c r="J43" s="155" t="s">
        <v>135</v>
      </c>
      <c r="K43" t="s">
        <v>112</v>
      </c>
      <c r="L43" t="s">
        <v>114</v>
      </c>
      <c r="M43" t="s">
        <v>113</v>
      </c>
      <c r="N43" t="s">
        <v>136</v>
      </c>
      <c r="O43"/>
      <c r="P43"/>
      <c r="Q43"/>
      <c r="R43"/>
    </row>
    <row r="44" spans="2:21" x14ac:dyDescent="0.2">
      <c r="B44" s="90">
        <v>2018</v>
      </c>
      <c r="C44" s="78" t="s">
        <v>114</v>
      </c>
      <c r="D44" s="154">
        <v>0.41589419543466799</v>
      </c>
      <c r="E44" s="154">
        <v>0.146292017413713</v>
      </c>
      <c r="F44" s="89">
        <v>0.17168704062603099</v>
      </c>
      <c r="G44" s="89">
        <v>0.14674859556088901</v>
      </c>
      <c r="H44" s="89">
        <v>0.119378150964698</v>
      </c>
      <c r="I44"/>
      <c r="J44" s="156">
        <v>2012</v>
      </c>
      <c r="K44" s="157">
        <v>0.586205978679882</v>
      </c>
      <c r="L44" s="157">
        <v>7.4304685263637302E-2</v>
      </c>
      <c r="M44" s="157">
        <v>0.462670446512365</v>
      </c>
      <c r="N44" s="157">
        <v>0.37439370348529472</v>
      </c>
      <c r="O44"/>
      <c r="P44"/>
      <c r="Q44"/>
      <c r="R44"/>
    </row>
    <row r="45" spans="2:21" x14ac:dyDescent="0.2">
      <c r="B45" s="90">
        <v>2019</v>
      </c>
      <c r="C45" s="78" t="s">
        <v>112</v>
      </c>
      <c r="D45" s="154">
        <v>6.1108285030292003E-2</v>
      </c>
      <c r="E45" s="154">
        <v>8.1465709719945906E-2</v>
      </c>
      <c r="F45" s="89">
        <v>8.6600832934867394E-2</v>
      </c>
      <c r="G45" s="89">
        <v>0.180852493970485</v>
      </c>
      <c r="H45" s="89">
        <v>0.58997267834441003</v>
      </c>
      <c r="I45"/>
      <c r="J45" s="156">
        <v>2013</v>
      </c>
      <c r="K45" s="157">
        <v>0.563731580098915</v>
      </c>
      <c r="L45" s="157">
        <v>8.7224116681379193E-2</v>
      </c>
      <c r="M45" s="157">
        <v>0.48641628406320098</v>
      </c>
      <c r="N45" s="157">
        <v>0.37912399361449839</v>
      </c>
      <c r="O45"/>
      <c r="P45"/>
      <c r="Q45"/>
      <c r="R45"/>
    </row>
    <row r="46" spans="2:21" x14ac:dyDescent="0.2">
      <c r="B46" s="90">
        <v>2019</v>
      </c>
      <c r="C46" s="78" t="s">
        <v>113</v>
      </c>
      <c r="D46" s="154">
        <v>8.9125695620937195E-2</v>
      </c>
      <c r="E46" s="154">
        <v>4.8833062768770197E-2</v>
      </c>
      <c r="F46" s="89">
        <v>8.6651898033114405E-2</v>
      </c>
      <c r="G46" s="89">
        <v>0.21237710744574101</v>
      </c>
      <c r="H46" s="89">
        <v>0.56301223613143703</v>
      </c>
      <c r="I46"/>
      <c r="J46" s="156">
        <v>2014</v>
      </c>
      <c r="K46" s="157">
        <v>0.61487594072386897</v>
      </c>
      <c r="L46" s="157">
        <v>6.8037761550169704E-2</v>
      </c>
      <c r="M46" s="157">
        <v>0.47292737633148302</v>
      </c>
      <c r="N46" s="157">
        <v>0.38528035953517392</v>
      </c>
      <c r="O46"/>
      <c r="P46"/>
      <c r="Q46"/>
      <c r="R46"/>
    </row>
    <row r="47" spans="2:21" x14ac:dyDescent="0.2">
      <c r="B47" s="90">
        <v>2019</v>
      </c>
      <c r="C47" s="78" t="s">
        <v>114</v>
      </c>
      <c r="D47" s="154">
        <v>0.39050857327183902</v>
      </c>
      <c r="E47" s="154">
        <v>0.169531695010086</v>
      </c>
      <c r="F47" s="89">
        <v>0.198839217252886</v>
      </c>
      <c r="G47" s="89">
        <v>0.137837518008459</v>
      </c>
      <c r="H47" s="89">
        <v>0.10328299645673</v>
      </c>
      <c r="I47"/>
      <c r="J47" s="156">
        <v>2015</v>
      </c>
      <c r="K47" s="157">
        <v>0.61182257180641697</v>
      </c>
      <c r="L47" s="157">
        <v>6.4564700201305905E-2</v>
      </c>
      <c r="M47" s="157">
        <v>0.52239954383707499</v>
      </c>
      <c r="N47" s="157">
        <v>0.39959560528159926</v>
      </c>
      <c r="O47"/>
      <c r="P47"/>
      <c r="Q47"/>
      <c r="R47"/>
    </row>
    <row r="48" spans="2:21" x14ac:dyDescent="0.2">
      <c r="B48" s="90">
        <v>2020</v>
      </c>
      <c r="C48" s="78" t="s">
        <v>112</v>
      </c>
      <c r="D48" s="154">
        <v>8.2370728683857003E-2</v>
      </c>
      <c r="E48" s="154">
        <v>5.4995968380106397E-2</v>
      </c>
      <c r="F48" s="89">
        <v>9.1588421508511597E-2</v>
      </c>
      <c r="G48" s="89">
        <v>0.21976397491369301</v>
      </c>
      <c r="H48" s="89">
        <v>0.55128090651383199</v>
      </c>
      <c r="I48"/>
      <c r="J48" s="156">
        <v>2016</v>
      </c>
      <c r="K48" s="157">
        <v>0.62879892149481997</v>
      </c>
      <c r="L48" s="157">
        <v>6.9043621291782806E-2</v>
      </c>
      <c r="M48" s="157">
        <v>0.46076594397246801</v>
      </c>
      <c r="N48" s="157">
        <v>0.38620282891969021</v>
      </c>
      <c r="O48"/>
      <c r="P48"/>
      <c r="Q48"/>
      <c r="R48"/>
    </row>
    <row r="49" spans="2:18" x14ac:dyDescent="0.2">
      <c r="B49" s="90">
        <v>2020</v>
      </c>
      <c r="C49" s="78" t="s">
        <v>113</v>
      </c>
      <c r="D49" s="154">
        <v>9.5973931053861206E-2</v>
      </c>
      <c r="E49" s="154">
        <v>4.6681518461594497E-2</v>
      </c>
      <c r="F49" s="89">
        <v>0.14145523682817901</v>
      </c>
      <c r="G49" s="89">
        <v>0.140254846295395</v>
      </c>
      <c r="H49" s="89">
        <v>0.57563446736097001</v>
      </c>
      <c r="I49"/>
      <c r="J49" s="156">
        <v>2017</v>
      </c>
      <c r="K49" s="157">
        <v>0.58061872836971196</v>
      </c>
      <c r="L49" s="157">
        <v>0.110963288950835</v>
      </c>
      <c r="M49" s="157">
        <v>0.52897760205168198</v>
      </c>
      <c r="N49" s="157">
        <v>0.40685320645740958</v>
      </c>
      <c r="O49"/>
      <c r="P49"/>
      <c r="Q49"/>
      <c r="R49"/>
    </row>
    <row r="50" spans="2:18" x14ac:dyDescent="0.2">
      <c r="B50" s="90">
        <v>2020</v>
      </c>
      <c r="C50" s="78" t="s">
        <v>114</v>
      </c>
      <c r="D50" s="154">
        <v>0.37215257966285398</v>
      </c>
      <c r="E50" s="154">
        <v>0.15889576521935</v>
      </c>
      <c r="F50" s="89">
        <v>0.199444346463612</v>
      </c>
      <c r="G50" s="89">
        <v>0.18722847729350101</v>
      </c>
      <c r="H50" s="89">
        <v>8.2278831360683397E-2</v>
      </c>
      <c r="I50"/>
      <c r="J50" s="156">
        <v>2018</v>
      </c>
      <c r="K50" s="157">
        <v>0.62155634130821302</v>
      </c>
      <c r="L50" s="157">
        <v>0.119378150964698</v>
      </c>
      <c r="M50" s="157">
        <v>0.48340510017216898</v>
      </c>
      <c r="N50" s="157">
        <v>0.40811319748169339</v>
      </c>
      <c r="O50"/>
      <c r="P50"/>
      <c r="Q50"/>
      <c r="R50"/>
    </row>
    <row r="51" spans="2:18" x14ac:dyDescent="0.2">
      <c r="B51" s="90">
        <v>2021</v>
      </c>
      <c r="C51" s="78" t="s">
        <v>112</v>
      </c>
      <c r="D51" s="154">
        <v>8.6933028361913398E-2</v>
      </c>
      <c r="E51" s="154">
        <v>5.3534380649635498E-2</v>
      </c>
      <c r="F51" s="89">
        <v>7.1280131792273396E-2</v>
      </c>
      <c r="G51" s="89">
        <v>0.18880697191318499</v>
      </c>
      <c r="H51" s="89">
        <v>0.59944548728299196</v>
      </c>
      <c r="I51"/>
      <c r="J51" s="156">
        <v>2019</v>
      </c>
      <c r="K51" s="157">
        <v>0.58997267834441003</v>
      </c>
      <c r="L51" s="157">
        <v>0.10328299645673</v>
      </c>
      <c r="M51" s="157">
        <v>0.56301223613143703</v>
      </c>
      <c r="N51" s="157">
        <v>0.41875597031085904</v>
      </c>
      <c r="O51"/>
      <c r="P51"/>
      <c r="Q51"/>
      <c r="R51"/>
    </row>
    <row r="52" spans="2:18" x14ac:dyDescent="0.2">
      <c r="B52" s="90">
        <v>2021</v>
      </c>
      <c r="C52" s="78" t="s">
        <v>113</v>
      </c>
      <c r="D52" s="154">
        <v>9.0179931722789194E-2</v>
      </c>
      <c r="E52" s="154">
        <v>3.1584133783389499E-2</v>
      </c>
      <c r="F52" s="89">
        <v>0.106807666498402</v>
      </c>
      <c r="G52" s="89">
        <v>0.182900970305861</v>
      </c>
      <c r="H52" s="89">
        <v>0.58852729768955803</v>
      </c>
      <c r="I52"/>
      <c r="J52" s="156">
        <v>2020</v>
      </c>
      <c r="K52" s="157">
        <v>0.55128090651383199</v>
      </c>
      <c r="L52" s="157">
        <v>8.2278831360683397E-2</v>
      </c>
      <c r="M52" s="157">
        <v>0.57563446736097001</v>
      </c>
      <c r="N52" s="157">
        <v>0.40306473507849511</v>
      </c>
      <c r="O52"/>
      <c r="P52"/>
      <c r="Q52"/>
      <c r="R52"/>
    </row>
    <row r="53" spans="2:18" x14ac:dyDescent="0.2">
      <c r="B53" s="90">
        <v>2021</v>
      </c>
      <c r="C53" s="78" t="s">
        <v>114</v>
      </c>
      <c r="D53" s="154">
        <v>0.42856159163630297</v>
      </c>
      <c r="E53" s="154">
        <v>0.14746227705048601</v>
      </c>
      <c r="F53" s="89">
        <v>0.187126925173005</v>
      </c>
      <c r="G53" s="89">
        <v>0.11206191941190501</v>
      </c>
      <c r="H53" s="89">
        <v>0.1247872867283</v>
      </c>
      <c r="I53"/>
      <c r="J53" s="156">
        <v>2021</v>
      </c>
      <c r="K53" s="157">
        <v>0.59944548728299196</v>
      </c>
      <c r="L53" s="157">
        <v>0.1247872867283</v>
      </c>
      <c r="M53" s="157">
        <v>0.58852729768955803</v>
      </c>
      <c r="N53" s="157">
        <v>0.43758669056695004</v>
      </c>
      <c r="O53"/>
      <c r="P53"/>
      <c r="Q53"/>
      <c r="R53"/>
    </row>
    <row r="54" spans="2:18" x14ac:dyDescent="0.2">
      <c r="B54" s="90">
        <v>2022</v>
      </c>
      <c r="C54" s="78" t="s">
        <v>112</v>
      </c>
      <c r="D54" s="154">
        <v>8.6365930742467206E-2</v>
      </c>
      <c r="E54" s="154">
        <v>0.10214759508924499</v>
      </c>
      <c r="F54" s="89">
        <v>0.10461679721077401</v>
      </c>
      <c r="G54" s="89">
        <v>0.122646440234113</v>
      </c>
      <c r="H54" s="89">
        <v>0.58422323672340104</v>
      </c>
      <c r="I54"/>
      <c r="J54" s="156">
        <v>2022</v>
      </c>
      <c r="K54" s="157">
        <v>0.58422323672340104</v>
      </c>
      <c r="L54" s="157">
        <v>0.115084792563139</v>
      </c>
      <c r="M54" s="157">
        <v>0.62318826882964296</v>
      </c>
      <c r="N54" s="157">
        <v>0.44083209937206097</v>
      </c>
      <c r="O54"/>
      <c r="P54"/>
      <c r="Q54"/>
      <c r="R54"/>
    </row>
    <row r="55" spans="2:18" x14ac:dyDescent="0.2">
      <c r="B55" s="90">
        <v>2022</v>
      </c>
      <c r="C55" s="78" t="s">
        <v>113</v>
      </c>
      <c r="D55" s="154">
        <v>6.8538352507047595E-2</v>
      </c>
      <c r="E55" s="154">
        <v>6.21914315411186E-2</v>
      </c>
      <c r="F55" s="89">
        <v>0.102689601569806</v>
      </c>
      <c r="G55" s="89">
        <v>0.143392345552385</v>
      </c>
      <c r="H55" s="89">
        <v>0.62318826882964296</v>
      </c>
      <c r="I55"/>
      <c r="J55" s="156">
        <v>2023</v>
      </c>
      <c r="K55" s="157">
        <v>0.58707942331160701</v>
      </c>
      <c r="L55" s="157">
        <v>9.8587734820946502E-2</v>
      </c>
      <c r="M55" s="157">
        <v>0.54671992922677404</v>
      </c>
      <c r="N55" s="157">
        <v>0.41079569578644248</v>
      </c>
      <c r="O55"/>
      <c r="P55"/>
      <c r="Q55"/>
      <c r="R55"/>
    </row>
    <row r="56" spans="2:18" x14ac:dyDescent="0.2">
      <c r="B56" s="90">
        <v>2022</v>
      </c>
      <c r="C56" s="78" t="s">
        <v>114</v>
      </c>
      <c r="D56" s="154">
        <v>0.43154627497965298</v>
      </c>
      <c r="E56" s="154">
        <v>0.182889198375526</v>
      </c>
      <c r="F56" s="89">
        <v>0.13883047781682201</v>
      </c>
      <c r="G56" s="89">
        <v>0.13164925626486099</v>
      </c>
      <c r="H56" s="89">
        <v>0.115084792563139</v>
      </c>
      <c r="I56"/>
      <c r="J56" s="156" t="s">
        <v>136</v>
      </c>
      <c r="K56" s="157">
        <v>0.59330098288817268</v>
      </c>
      <c r="L56" s="157">
        <v>9.3128163902800584E-2</v>
      </c>
      <c r="M56" s="157">
        <v>0.52622037468156879</v>
      </c>
      <c r="N56" s="157">
        <v>0.40421650715751395</v>
      </c>
      <c r="O56"/>
      <c r="P56"/>
      <c r="Q56"/>
      <c r="R56"/>
    </row>
    <row r="57" spans="2:18" x14ac:dyDescent="0.2">
      <c r="B57" s="90">
        <v>2023</v>
      </c>
      <c r="C57" s="78" t="s">
        <v>112</v>
      </c>
      <c r="D57" s="154">
        <v>7.3814002297877199E-2</v>
      </c>
      <c r="E57" s="154">
        <v>6.5720536994968895E-2</v>
      </c>
      <c r="F57" s="89">
        <v>9.6907868839468003E-2</v>
      </c>
      <c r="G57" s="89">
        <v>0.17647816855607901</v>
      </c>
      <c r="H57" s="89">
        <v>0.58707942331160701</v>
      </c>
      <c r="I57"/>
      <c r="J57"/>
      <c r="K57"/>
      <c r="L57"/>
      <c r="M57"/>
      <c r="N57"/>
      <c r="O57"/>
      <c r="P57"/>
      <c r="Q57"/>
      <c r="R57"/>
    </row>
    <row r="58" spans="2:18" x14ac:dyDescent="0.2">
      <c r="B58" s="90">
        <v>2023</v>
      </c>
      <c r="C58" s="78" t="s">
        <v>113</v>
      </c>
      <c r="D58" s="154">
        <v>0.1046062011602</v>
      </c>
      <c r="E58" s="154">
        <v>4.2303904556148103E-2</v>
      </c>
      <c r="F58" s="89">
        <v>0.12530155625778899</v>
      </c>
      <c r="G58" s="89">
        <v>0.181068408799089</v>
      </c>
      <c r="H58" s="89">
        <v>0.54671992922677404</v>
      </c>
      <c r="J58"/>
      <c r="K58"/>
      <c r="L58"/>
    </row>
    <row r="59" spans="2:18" x14ac:dyDescent="0.2">
      <c r="B59" s="90">
        <v>2023</v>
      </c>
      <c r="C59" s="78" t="s">
        <v>114</v>
      </c>
      <c r="D59" s="154">
        <v>0.358119355716147</v>
      </c>
      <c r="E59" s="154">
        <v>0.198638085374128</v>
      </c>
      <c r="F59" s="89">
        <v>0.20862290906193501</v>
      </c>
      <c r="G59" s="89">
        <v>0.136031915026844</v>
      </c>
      <c r="H59" s="89">
        <v>9.8587734820946502E-2</v>
      </c>
      <c r="J59"/>
      <c r="K59"/>
      <c r="L59"/>
    </row>
    <row r="60" spans="2:18" x14ac:dyDescent="0.2">
      <c r="B60" s="90"/>
      <c r="C60" s="78"/>
      <c r="D60" s="78"/>
      <c r="E60" s="91"/>
      <c r="F60" s="89"/>
    </row>
    <row r="61" spans="2:18" x14ac:dyDescent="0.2">
      <c r="B61" s="90"/>
      <c r="C61" s="78"/>
      <c r="D61" s="78"/>
      <c r="E61" s="91"/>
      <c r="F61" s="89"/>
    </row>
    <row r="62" spans="2:18" x14ac:dyDescent="0.2">
      <c r="B62" s="90"/>
      <c r="C62" s="78"/>
      <c r="D62" s="78"/>
      <c r="E62" s="91"/>
      <c r="F62" s="89"/>
    </row>
    <row r="63" spans="2:18" x14ac:dyDescent="0.2">
      <c r="B63" s="90"/>
      <c r="C63" s="78"/>
      <c r="D63" s="78"/>
      <c r="E63" s="91"/>
      <c r="F63" s="89"/>
    </row>
    <row r="64" spans="2:18" x14ac:dyDescent="0.2">
      <c r="B64" s="90"/>
      <c r="C64" s="78"/>
      <c r="D64" s="78"/>
      <c r="E64" s="91"/>
      <c r="F64" s="89"/>
    </row>
    <row r="65" spans="2:6" x14ac:dyDescent="0.2">
      <c r="B65" s="90"/>
      <c r="C65" s="78"/>
      <c r="D65" s="78"/>
      <c r="E65" s="91"/>
      <c r="F65" s="89"/>
    </row>
    <row r="66" spans="2:6" x14ac:dyDescent="0.2">
      <c r="B66" s="90"/>
      <c r="C66" s="78"/>
      <c r="D66" s="78"/>
      <c r="E66" s="91"/>
      <c r="F66" s="89"/>
    </row>
    <row r="67" spans="2:6" x14ac:dyDescent="0.2">
      <c r="B67" s="90"/>
      <c r="C67" s="78"/>
      <c r="D67" s="78"/>
      <c r="E67" s="91"/>
      <c r="F67" s="89"/>
    </row>
    <row r="68" spans="2:6" x14ac:dyDescent="0.2">
      <c r="B68" s="90"/>
      <c r="C68" s="78"/>
      <c r="D68" s="78"/>
      <c r="E68" s="91"/>
      <c r="F68" s="89"/>
    </row>
    <row r="69" spans="2:6" x14ac:dyDescent="0.2">
      <c r="B69" s="90"/>
      <c r="C69" s="78"/>
      <c r="D69" s="78"/>
      <c r="E69" s="91"/>
      <c r="F69" s="89"/>
    </row>
    <row r="70" spans="2:6" x14ac:dyDescent="0.2">
      <c r="B70" s="90"/>
      <c r="C70" s="78"/>
      <c r="D70" s="78"/>
      <c r="E70" s="91"/>
      <c r="F70" s="89"/>
    </row>
    <row r="71" spans="2:6" x14ac:dyDescent="0.2">
      <c r="B71" s="90"/>
      <c r="C71" s="78"/>
      <c r="D71" s="78"/>
      <c r="E71" s="91"/>
      <c r="F71" s="89"/>
    </row>
    <row r="72" spans="2:6" x14ac:dyDescent="0.2">
      <c r="B72" s="90"/>
      <c r="C72" s="78"/>
      <c r="D72" s="78"/>
      <c r="E72" s="91"/>
      <c r="F72" s="89"/>
    </row>
    <row r="73" spans="2:6" x14ac:dyDescent="0.2">
      <c r="B73" s="90"/>
      <c r="C73" s="78"/>
      <c r="D73" s="78"/>
      <c r="E73" s="91"/>
      <c r="F73" s="89"/>
    </row>
    <row r="74" spans="2:6" x14ac:dyDescent="0.2">
      <c r="B74" s="90"/>
      <c r="C74" s="78"/>
      <c r="D74" s="78"/>
      <c r="E74" s="91"/>
      <c r="F74" s="89"/>
    </row>
    <row r="75" spans="2:6" x14ac:dyDescent="0.2">
      <c r="B75" s="90"/>
      <c r="C75" s="78"/>
      <c r="D75" s="78"/>
      <c r="E75" s="91"/>
      <c r="F75" s="89"/>
    </row>
    <row r="76" spans="2:6" x14ac:dyDescent="0.2">
      <c r="B76" s="90"/>
      <c r="C76" s="78"/>
      <c r="D76" s="78"/>
      <c r="E76" s="91"/>
      <c r="F76" s="89"/>
    </row>
    <row r="77" spans="2:6" x14ac:dyDescent="0.2">
      <c r="B77" s="90"/>
      <c r="C77" s="78"/>
      <c r="D77" s="78"/>
      <c r="E77" s="91"/>
      <c r="F77" s="89"/>
    </row>
    <row r="78" spans="2:6" x14ac:dyDescent="0.2">
      <c r="B78" s="90"/>
      <c r="C78" s="78"/>
      <c r="D78" s="78"/>
      <c r="E78" s="91"/>
      <c r="F78" s="89"/>
    </row>
    <row r="79" spans="2:6" x14ac:dyDescent="0.2">
      <c r="B79" s="90"/>
      <c r="C79" s="78"/>
      <c r="D79" s="78"/>
      <c r="E79" s="91"/>
      <c r="F79" s="89"/>
    </row>
    <row r="80" spans="2:6" x14ac:dyDescent="0.2">
      <c r="B80" s="90"/>
      <c r="C80" s="78"/>
      <c r="D80" s="78"/>
      <c r="E80" s="91"/>
      <c r="F80" s="89"/>
    </row>
    <row r="81" spans="2:6" x14ac:dyDescent="0.2">
      <c r="B81" s="90"/>
      <c r="C81" s="78"/>
      <c r="D81" s="78"/>
      <c r="E81" s="91"/>
      <c r="F81" s="89"/>
    </row>
    <row r="82" spans="2:6" x14ac:dyDescent="0.2">
      <c r="B82" s="90"/>
      <c r="C82" s="78"/>
      <c r="D82" s="78"/>
      <c r="E82" s="91"/>
      <c r="F82" s="89"/>
    </row>
    <row r="83" spans="2:6" x14ac:dyDescent="0.2">
      <c r="B83" s="90"/>
      <c r="C83" s="78"/>
      <c r="D83" s="78"/>
      <c r="E83" s="91"/>
      <c r="F83" s="89"/>
    </row>
    <row r="84" spans="2:6" x14ac:dyDescent="0.2">
      <c r="B84" s="90"/>
      <c r="C84" s="78"/>
      <c r="D84" s="78"/>
      <c r="E84" s="91"/>
      <c r="F84" s="89"/>
    </row>
    <row r="85" spans="2:6" x14ac:dyDescent="0.2">
      <c r="B85" s="90"/>
      <c r="C85" s="78"/>
      <c r="D85" s="78"/>
      <c r="E85" s="91"/>
      <c r="F85" s="89"/>
    </row>
    <row r="86" spans="2:6" x14ac:dyDescent="0.2">
      <c r="B86" s="90"/>
      <c r="C86" s="78"/>
      <c r="D86" s="78"/>
      <c r="E86" s="91"/>
      <c r="F86" s="89"/>
    </row>
    <row r="87" spans="2:6" x14ac:dyDescent="0.2">
      <c r="B87" s="90"/>
      <c r="C87" s="78"/>
      <c r="D87" s="78"/>
      <c r="E87" s="91"/>
      <c r="F87" s="89"/>
    </row>
    <row r="88" spans="2:6" x14ac:dyDescent="0.2">
      <c r="B88" s="90"/>
      <c r="C88" s="78"/>
      <c r="D88" s="78"/>
      <c r="E88" s="91"/>
      <c r="F88" s="89"/>
    </row>
    <row r="89" spans="2:6" x14ac:dyDescent="0.2">
      <c r="B89" s="90"/>
      <c r="C89" s="78"/>
      <c r="D89" s="78"/>
      <c r="E89" s="91"/>
      <c r="F89" s="89"/>
    </row>
    <row r="90" spans="2:6" x14ac:dyDescent="0.2">
      <c r="B90" s="90"/>
      <c r="C90" s="78"/>
      <c r="D90" s="78"/>
      <c r="E90" s="91"/>
      <c r="F90" s="89"/>
    </row>
    <row r="91" spans="2:6" x14ac:dyDescent="0.2">
      <c r="B91" s="90"/>
      <c r="C91" s="78"/>
      <c r="D91" s="78"/>
      <c r="E91" s="91"/>
      <c r="F91" s="89"/>
    </row>
    <row r="92" spans="2:6" x14ac:dyDescent="0.2">
      <c r="B92" s="90"/>
      <c r="C92" s="78"/>
      <c r="D92" s="78"/>
      <c r="E92" s="78"/>
    </row>
    <row r="93" spans="2:6" x14ac:dyDescent="0.2">
      <c r="B93" s="90"/>
      <c r="C93" s="78"/>
      <c r="D93" s="78"/>
      <c r="E93" s="91"/>
    </row>
    <row r="94" spans="2:6" x14ac:dyDescent="0.2">
      <c r="B94" s="90"/>
      <c r="C94" s="78"/>
      <c r="D94" s="78"/>
      <c r="E94" s="78"/>
    </row>
    <row r="95" spans="2:6" x14ac:dyDescent="0.2">
      <c r="B95" s="90"/>
      <c r="C95" s="78"/>
      <c r="D95" s="78"/>
      <c r="E95" s="78"/>
    </row>
    <row r="96" spans="2:6" x14ac:dyDescent="0.2">
      <c r="B96" s="90"/>
      <c r="C96" s="78"/>
      <c r="D96" s="78"/>
      <c r="E96" s="91"/>
    </row>
    <row r="97" spans="2:5" x14ac:dyDescent="0.2">
      <c r="B97" s="90"/>
      <c r="C97" s="78"/>
      <c r="D97" s="78"/>
      <c r="E97" s="78"/>
    </row>
    <row r="98" spans="2:5" x14ac:dyDescent="0.2">
      <c r="B98" s="90"/>
      <c r="C98" s="78"/>
      <c r="D98" s="78"/>
      <c r="E98" s="78"/>
    </row>
    <row r="99" spans="2:5" x14ac:dyDescent="0.2">
      <c r="B99" s="90"/>
      <c r="C99" s="78"/>
      <c r="D99" s="78"/>
      <c r="E99" s="91"/>
    </row>
    <row r="100" spans="2:5" x14ac:dyDescent="0.2">
      <c r="B100" s="90"/>
      <c r="C100" s="78"/>
      <c r="D100" s="78"/>
      <c r="E100" s="78"/>
    </row>
    <row r="101" spans="2:5" x14ac:dyDescent="0.2">
      <c r="B101" s="90"/>
      <c r="C101" s="78"/>
      <c r="D101" s="78"/>
      <c r="E101" s="78"/>
    </row>
    <row r="102" spans="2:5" x14ac:dyDescent="0.2">
      <c r="B102" s="90"/>
      <c r="C102" s="78"/>
      <c r="D102" s="78"/>
      <c r="E102" s="91"/>
    </row>
    <row r="103" spans="2:5" x14ac:dyDescent="0.2">
      <c r="B103" s="90"/>
      <c r="C103" s="78"/>
      <c r="D103" s="78"/>
      <c r="E103" s="78"/>
    </row>
    <row r="104" spans="2:5" x14ac:dyDescent="0.2">
      <c r="B104" s="90"/>
      <c r="C104" s="78"/>
      <c r="D104" s="78"/>
      <c r="E104" s="78"/>
    </row>
    <row r="105" spans="2:5" x14ac:dyDescent="0.2">
      <c r="B105" s="90"/>
      <c r="C105" s="78"/>
      <c r="D105" s="78"/>
      <c r="E105" s="91"/>
    </row>
    <row r="106" spans="2:5" x14ac:dyDescent="0.2">
      <c r="B106" s="90"/>
      <c r="C106" s="78"/>
      <c r="D106" s="78"/>
      <c r="E106" s="78"/>
    </row>
    <row r="107" spans="2:5" x14ac:dyDescent="0.2">
      <c r="B107" s="90"/>
      <c r="C107" s="78"/>
      <c r="D107" s="78"/>
      <c r="E107" s="78"/>
    </row>
    <row r="108" spans="2:5" x14ac:dyDescent="0.2">
      <c r="B108" s="90"/>
      <c r="C108" s="78"/>
      <c r="D108" s="78"/>
      <c r="E108" s="91"/>
    </row>
    <row r="109" spans="2:5" x14ac:dyDescent="0.2">
      <c r="B109" s="90"/>
      <c r="C109" s="78"/>
      <c r="D109" s="78"/>
      <c r="E109" s="78"/>
    </row>
    <row r="110" spans="2:5" x14ac:dyDescent="0.2">
      <c r="B110" s="90"/>
      <c r="C110" s="78"/>
      <c r="D110" s="78"/>
      <c r="E110" s="78"/>
    </row>
    <row r="111" spans="2:5" x14ac:dyDescent="0.2">
      <c r="B111" s="90"/>
      <c r="C111" s="78"/>
      <c r="D111" s="78"/>
      <c r="E111" s="91"/>
    </row>
    <row r="112" spans="2:5" x14ac:dyDescent="0.2">
      <c r="B112" s="90"/>
      <c r="C112" s="78"/>
      <c r="D112" s="78"/>
      <c r="E112" s="78"/>
    </row>
    <row r="113" spans="2:5" x14ac:dyDescent="0.2">
      <c r="B113" s="90"/>
      <c r="C113" s="78"/>
      <c r="D113" s="78"/>
      <c r="E113" s="78"/>
    </row>
    <row r="114" spans="2:5" x14ac:dyDescent="0.2">
      <c r="B114" s="90"/>
      <c r="C114" s="78"/>
      <c r="D114" s="78"/>
      <c r="E114" s="91"/>
    </row>
    <row r="115" spans="2:5" x14ac:dyDescent="0.2">
      <c r="B115" s="90"/>
      <c r="C115" s="78"/>
      <c r="D115" s="78"/>
      <c r="E115" s="78"/>
    </row>
    <row r="116" spans="2:5" x14ac:dyDescent="0.2">
      <c r="B116" s="90"/>
      <c r="C116" s="78"/>
      <c r="D116" s="78"/>
      <c r="E116" s="78"/>
    </row>
    <row r="117" spans="2:5" x14ac:dyDescent="0.2">
      <c r="B117" s="90"/>
      <c r="C117" s="78"/>
      <c r="D117" s="78"/>
      <c r="E117" s="91"/>
    </row>
    <row r="118" spans="2:5" x14ac:dyDescent="0.2">
      <c r="B118" s="90"/>
      <c r="C118" s="78"/>
      <c r="D118" s="78"/>
      <c r="E118" s="78"/>
    </row>
    <row r="119" spans="2:5" x14ac:dyDescent="0.2">
      <c r="B119" s="90"/>
      <c r="C119" s="78"/>
      <c r="D119" s="78"/>
      <c r="E119" s="78"/>
    </row>
    <row r="120" spans="2:5" x14ac:dyDescent="0.2">
      <c r="B120" s="90"/>
      <c r="C120" s="78"/>
      <c r="D120" s="78"/>
      <c r="E120" s="91"/>
    </row>
    <row r="121" spans="2:5" x14ac:dyDescent="0.2">
      <c r="B121" s="90"/>
      <c r="C121" s="78"/>
      <c r="D121" s="78"/>
      <c r="E121" s="78"/>
    </row>
    <row r="122" spans="2:5" x14ac:dyDescent="0.2">
      <c r="B122" s="90"/>
      <c r="C122" s="78"/>
      <c r="D122" s="78"/>
      <c r="E122" s="78"/>
    </row>
    <row r="123" spans="2:5" x14ac:dyDescent="0.2">
      <c r="B123" s="90"/>
      <c r="C123" s="78"/>
      <c r="D123" s="78"/>
      <c r="E123" s="91"/>
    </row>
    <row r="124" spans="2:5" x14ac:dyDescent="0.2">
      <c r="B124" s="90"/>
      <c r="C124" s="78"/>
      <c r="D124" s="78"/>
      <c r="E124" s="78"/>
    </row>
    <row r="125" spans="2:5" x14ac:dyDescent="0.2">
      <c r="B125" s="90"/>
      <c r="C125" s="78"/>
      <c r="D125" s="78"/>
      <c r="E125" s="78"/>
    </row>
    <row r="126" spans="2:5" x14ac:dyDescent="0.2">
      <c r="B126" s="90"/>
      <c r="C126" s="78"/>
      <c r="D126" s="78"/>
      <c r="E126" s="91"/>
    </row>
    <row r="127" spans="2:5" x14ac:dyDescent="0.2">
      <c r="B127" s="90"/>
      <c r="C127" s="78"/>
      <c r="D127" s="78"/>
      <c r="E127" s="78"/>
    </row>
    <row r="128" spans="2:5" x14ac:dyDescent="0.2">
      <c r="B128" s="90"/>
      <c r="C128" s="78"/>
      <c r="D128" s="78"/>
      <c r="E128" s="78"/>
    </row>
    <row r="129" spans="2:5" x14ac:dyDescent="0.2">
      <c r="B129" s="90"/>
      <c r="C129" s="78"/>
      <c r="D129" s="78"/>
      <c r="E129" s="91"/>
    </row>
    <row r="130" spans="2:5" x14ac:dyDescent="0.2">
      <c r="B130" s="90"/>
      <c r="C130" s="78"/>
      <c r="D130" s="78"/>
      <c r="E130" s="78"/>
    </row>
    <row r="131" spans="2:5" x14ac:dyDescent="0.2">
      <c r="B131" s="90"/>
      <c r="C131" s="78"/>
      <c r="D131" s="78"/>
      <c r="E131" s="78"/>
    </row>
    <row r="132" spans="2:5" x14ac:dyDescent="0.2">
      <c r="B132" s="90"/>
      <c r="C132" s="78"/>
      <c r="D132" s="78"/>
      <c r="E132" s="91"/>
    </row>
    <row r="133" spans="2:5" x14ac:dyDescent="0.2">
      <c r="B133" s="90"/>
      <c r="C133" s="78"/>
      <c r="D133" s="78"/>
      <c r="E133" s="78"/>
    </row>
    <row r="134" spans="2:5" x14ac:dyDescent="0.2">
      <c r="B134" s="90"/>
      <c r="C134" s="78"/>
      <c r="D134" s="78"/>
      <c r="E134" s="78"/>
    </row>
    <row r="135" spans="2:5" x14ac:dyDescent="0.2">
      <c r="B135" s="90"/>
      <c r="C135" s="78"/>
      <c r="D135" s="78"/>
      <c r="E135" s="91"/>
    </row>
    <row r="136" spans="2:5" x14ac:dyDescent="0.2">
      <c r="B136" s="90"/>
      <c r="C136" s="78"/>
      <c r="D136" s="78"/>
      <c r="E136" s="78"/>
    </row>
    <row r="137" spans="2:5" x14ac:dyDescent="0.2">
      <c r="B137" s="90"/>
      <c r="C137" s="78"/>
      <c r="D137" s="78"/>
      <c r="E137" s="78"/>
    </row>
    <row r="138" spans="2:5" x14ac:dyDescent="0.2">
      <c r="B138" s="90"/>
      <c r="C138" s="78"/>
      <c r="D138" s="78"/>
      <c r="E138" s="91"/>
    </row>
    <row r="139" spans="2:5" x14ac:dyDescent="0.2">
      <c r="B139" s="90"/>
      <c r="C139" s="78"/>
      <c r="D139" s="78"/>
      <c r="E139" s="78"/>
    </row>
    <row r="140" spans="2:5" x14ac:dyDescent="0.2">
      <c r="B140" s="90"/>
      <c r="C140" s="78"/>
      <c r="D140" s="78"/>
      <c r="E140" s="78"/>
    </row>
    <row r="141" spans="2:5" x14ac:dyDescent="0.2">
      <c r="B141" s="90"/>
      <c r="C141" s="78"/>
      <c r="D141" s="78"/>
      <c r="E141" s="91"/>
    </row>
    <row r="142" spans="2:5" x14ac:dyDescent="0.2">
      <c r="B142" s="90"/>
      <c r="C142" s="78"/>
      <c r="D142" s="78"/>
      <c r="E142" s="78"/>
    </row>
    <row r="143" spans="2:5" x14ac:dyDescent="0.2">
      <c r="B143" s="90"/>
      <c r="C143" s="78"/>
      <c r="D143" s="78"/>
      <c r="E143" s="78"/>
    </row>
    <row r="144" spans="2:5" x14ac:dyDescent="0.2">
      <c r="B144" s="90"/>
      <c r="C144" s="78"/>
      <c r="D144" s="78"/>
      <c r="E144" s="91"/>
    </row>
    <row r="145" spans="2:5" x14ac:dyDescent="0.2">
      <c r="B145" s="90"/>
      <c r="C145" s="78"/>
      <c r="D145" s="78"/>
      <c r="E145" s="78"/>
    </row>
    <row r="146" spans="2:5" x14ac:dyDescent="0.2">
      <c r="B146" s="90"/>
      <c r="C146" s="78"/>
      <c r="D146" s="78"/>
      <c r="E146" s="78"/>
    </row>
    <row r="147" spans="2:5" x14ac:dyDescent="0.2">
      <c r="B147" s="90"/>
      <c r="C147" s="78"/>
      <c r="D147" s="78"/>
      <c r="E147" s="91"/>
    </row>
    <row r="148" spans="2:5" x14ac:dyDescent="0.2">
      <c r="B148" s="90"/>
      <c r="C148" s="78"/>
      <c r="D148" s="78"/>
      <c r="E148" s="78"/>
    </row>
    <row r="149" spans="2:5" x14ac:dyDescent="0.2">
      <c r="B149" s="90"/>
      <c r="C149" s="78"/>
      <c r="D149" s="78"/>
      <c r="E149" s="78"/>
    </row>
    <row r="150" spans="2:5" x14ac:dyDescent="0.2">
      <c r="B150" s="90"/>
      <c r="C150" s="78"/>
      <c r="D150" s="78"/>
      <c r="E150" s="91"/>
    </row>
    <row r="151" spans="2:5" x14ac:dyDescent="0.2">
      <c r="B151" s="90"/>
      <c r="C151" s="78"/>
      <c r="D151" s="78"/>
      <c r="E151" s="78"/>
    </row>
    <row r="152" spans="2:5" x14ac:dyDescent="0.2">
      <c r="B152" s="90"/>
      <c r="C152" s="78"/>
      <c r="D152" s="78"/>
      <c r="E152" s="78"/>
    </row>
    <row r="153" spans="2:5" x14ac:dyDescent="0.2">
      <c r="B153" s="90"/>
      <c r="C153" s="78"/>
      <c r="D153" s="78"/>
      <c r="E153" s="91"/>
    </row>
    <row r="154" spans="2:5" x14ac:dyDescent="0.2">
      <c r="B154" s="90"/>
      <c r="C154" s="78"/>
      <c r="D154" s="78"/>
      <c r="E154" s="78"/>
    </row>
    <row r="155" spans="2:5" x14ac:dyDescent="0.2">
      <c r="B155" s="90"/>
      <c r="C155" s="78"/>
      <c r="D155" s="78"/>
      <c r="E155" s="78"/>
    </row>
    <row r="156" spans="2:5" x14ac:dyDescent="0.2">
      <c r="B156" s="90"/>
      <c r="C156" s="78"/>
      <c r="D156" s="78"/>
      <c r="E156" s="91"/>
    </row>
    <row r="157" spans="2:5" x14ac:dyDescent="0.2">
      <c r="B157" s="90"/>
      <c r="C157" s="78"/>
      <c r="D157" s="78"/>
      <c r="E157" s="78"/>
    </row>
    <row r="158" spans="2:5" x14ac:dyDescent="0.2">
      <c r="B158" s="90"/>
      <c r="C158" s="78"/>
      <c r="D158" s="78"/>
      <c r="E158" s="78"/>
    </row>
    <row r="159" spans="2:5" x14ac:dyDescent="0.2">
      <c r="B159" s="90"/>
      <c r="C159" s="78"/>
      <c r="D159" s="78"/>
      <c r="E159" s="91"/>
    </row>
    <row r="160" spans="2:5" x14ac:dyDescent="0.2">
      <c r="B160" s="90"/>
      <c r="C160" s="78"/>
      <c r="D160" s="78"/>
      <c r="E160" s="78"/>
    </row>
    <row r="161" spans="2:5" x14ac:dyDescent="0.2">
      <c r="B161" s="90"/>
      <c r="C161" s="78"/>
      <c r="D161" s="78"/>
      <c r="E161" s="78"/>
    </row>
    <row r="162" spans="2:5" x14ac:dyDescent="0.2">
      <c r="B162" s="90"/>
      <c r="C162" s="78"/>
      <c r="D162" s="78"/>
      <c r="E162" s="91"/>
    </row>
    <row r="163" spans="2:5" x14ac:dyDescent="0.2">
      <c r="B163" s="90"/>
      <c r="C163" s="78"/>
      <c r="D163" s="78"/>
      <c r="E163" s="78"/>
    </row>
    <row r="164" spans="2:5" x14ac:dyDescent="0.2">
      <c r="B164" s="90"/>
      <c r="C164" s="78"/>
      <c r="D164" s="78"/>
      <c r="E164" s="78"/>
    </row>
    <row r="165" spans="2:5" x14ac:dyDescent="0.2">
      <c r="B165" s="90"/>
      <c r="C165" s="78"/>
      <c r="D165" s="78"/>
      <c r="E165" s="91"/>
    </row>
    <row r="166" spans="2:5" x14ac:dyDescent="0.2">
      <c r="B166" s="90"/>
      <c r="C166" s="78"/>
      <c r="D166" s="78"/>
      <c r="E166" s="78"/>
    </row>
    <row r="167" spans="2:5" x14ac:dyDescent="0.2">
      <c r="B167" s="90"/>
      <c r="C167" s="78"/>
      <c r="D167" s="78"/>
      <c r="E167" s="78"/>
    </row>
    <row r="168" spans="2:5" x14ac:dyDescent="0.2">
      <c r="B168" s="90"/>
      <c r="C168" s="78"/>
      <c r="D168" s="78"/>
      <c r="E168" s="91"/>
    </row>
    <row r="169" spans="2:5" x14ac:dyDescent="0.2">
      <c r="B169" s="90"/>
      <c r="C169" s="78"/>
      <c r="D169" s="78"/>
      <c r="E169" s="78"/>
    </row>
    <row r="170" spans="2:5" x14ac:dyDescent="0.2">
      <c r="B170" s="90"/>
      <c r="C170" s="78"/>
      <c r="D170" s="78"/>
      <c r="E170" s="78"/>
    </row>
    <row r="171" spans="2:5" x14ac:dyDescent="0.2">
      <c r="B171" s="90"/>
      <c r="C171" s="78"/>
      <c r="D171" s="78"/>
      <c r="E171" s="91"/>
    </row>
    <row r="172" spans="2:5" x14ac:dyDescent="0.2">
      <c r="B172" s="90"/>
      <c r="C172" s="78"/>
      <c r="D172" s="78"/>
      <c r="E172" s="78"/>
    </row>
    <row r="173" spans="2:5" x14ac:dyDescent="0.2">
      <c r="B173" s="90"/>
      <c r="C173" s="78"/>
      <c r="D173" s="78"/>
      <c r="E173" s="78"/>
    </row>
    <row r="174" spans="2:5" x14ac:dyDescent="0.2">
      <c r="B174" s="90"/>
      <c r="C174" s="78"/>
      <c r="D174" s="78"/>
      <c r="E174" s="91"/>
    </row>
    <row r="175" spans="2:5" x14ac:dyDescent="0.2">
      <c r="B175" s="90"/>
      <c r="C175" s="78"/>
      <c r="D175" s="78"/>
      <c r="E175" s="78"/>
    </row>
    <row r="176" spans="2:5" x14ac:dyDescent="0.2">
      <c r="B176" s="90"/>
      <c r="C176" s="78"/>
      <c r="D176" s="78"/>
      <c r="E176" s="78"/>
    </row>
    <row r="177" spans="2:5" x14ac:dyDescent="0.2">
      <c r="B177" s="90"/>
      <c r="C177" s="78"/>
      <c r="D177" s="78"/>
      <c r="E177" s="91"/>
    </row>
    <row r="178" spans="2:5" x14ac:dyDescent="0.2">
      <c r="B178" s="90"/>
      <c r="C178" s="78"/>
      <c r="D178" s="78"/>
      <c r="E178" s="78"/>
    </row>
    <row r="179" spans="2:5" x14ac:dyDescent="0.2">
      <c r="B179" s="90"/>
      <c r="C179" s="78"/>
      <c r="D179" s="78"/>
      <c r="E179" s="78"/>
    </row>
    <row r="180" spans="2:5" x14ac:dyDescent="0.2">
      <c r="B180" s="90"/>
      <c r="C180" s="78"/>
      <c r="D180" s="78"/>
      <c r="E180" s="91"/>
    </row>
    <row r="181" spans="2:5" x14ac:dyDescent="0.2">
      <c r="B181" s="90"/>
      <c r="C181" s="78"/>
      <c r="D181" s="78"/>
      <c r="E181" s="78"/>
    </row>
    <row r="182" spans="2:5" x14ac:dyDescent="0.2">
      <c r="B182" s="90"/>
      <c r="C182" s="78"/>
      <c r="D182" s="78"/>
      <c r="E182" s="78"/>
    </row>
    <row r="183" spans="2:5" x14ac:dyDescent="0.2">
      <c r="B183" s="90"/>
      <c r="C183" s="78"/>
      <c r="D183" s="78"/>
      <c r="E183" s="91"/>
    </row>
    <row r="184" spans="2:5" x14ac:dyDescent="0.2">
      <c r="B184" s="90"/>
      <c r="C184" s="78"/>
      <c r="D184" s="78"/>
      <c r="E184" s="78"/>
    </row>
    <row r="185" spans="2:5" x14ac:dyDescent="0.2">
      <c r="B185" s="90"/>
      <c r="C185" s="78"/>
      <c r="D185" s="78"/>
      <c r="E185" s="78"/>
    </row>
    <row r="186" spans="2:5" x14ac:dyDescent="0.2">
      <c r="B186" s="90"/>
      <c r="C186" s="78"/>
      <c r="D186" s="78"/>
      <c r="E186" s="91"/>
    </row>
    <row r="187" spans="2:5" x14ac:dyDescent="0.2">
      <c r="B187" s="90"/>
      <c r="C187" s="78"/>
      <c r="D187" s="78"/>
      <c r="E187" s="78"/>
    </row>
    <row r="188" spans="2:5" x14ac:dyDescent="0.2">
      <c r="B188" s="90"/>
      <c r="C188" s="78"/>
      <c r="D188" s="78"/>
      <c r="E188" s="78"/>
    </row>
    <row r="189" spans="2:5" x14ac:dyDescent="0.2">
      <c r="B189" s="90"/>
      <c r="C189" s="78"/>
      <c r="D189" s="78"/>
      <c r="E189" s="91"/>
    </row>
    <row r="190" spans="2:5" x14ac:dyDescent="0.2">
      <c r="B190" s="90"/>
      <c r="C190" s="78"/>
      <c r="D190" s="78"/>
      <c r="E190" s="78"/>
    </row>
    <row r="191" spans="2:5" x14ac:dyDescent="0.2">
      <c r="B191" s="90"/>
      <c r="C191" s="78"/>
      <c r="D191" s="78"/>
      <c r="E191" s="78"/>
    </row>
    <row r="192" spans="2:5" x14ac:dyDescent="0.2">
      <c r="B192" s="90"/>
      <c r="C192" s="78"/>
      <c r="D192" s="78"/>
      <c r="E192" s="91"/>
    </row>
    <row r="193" spans="2:5" x14ac:dyDescent="0.2">
      <c r="B193" s="90"/>
      <c r="C193" s="78"/>
      <c r="D193" s="78"/>
      <c r="E193" s="78"/>
    </row>
    <row r="194" spans="2:5" x14ac:dyDescent="0.2">
      <c r="B194" s="90"/>
      <c r="C194" s="78"/>
      <c r="D194" s="78"/>
      <c r="E194" s="78"/>
    </row>
    <row r="195" spans="2:5" x14ac:dyDescent="0.2">
      <c r="B195" s="90"/>
      <c r="C195" s="78"/>
      <c r="D195" s="78"/>
      <c r="E195" s="91"/>
    </row>
    <row r="196" spans="2:5" x14ac:dyDescent="0.2">
      <c r="B196" s="90"/>
      <c r="C196" s="78"/>
      <c r="D196" s="78"/>
      <c r="E196" s="78"/>
    </row>
    <row r="197" spans="2:5" x14ac:dyDescent="0.2">
      <c r="B197" s="90"/>
      <c r="C197" s="78"/>
      <c r="D197" s="78"/>
      <c r="E197" s="78"/>
    </row>
    <row r="198" spans="2:5" x14ac:dyDescent="0.2">
      <c r="B198" s="90"/>
      <c r="C198" s="78"/>
      <c r="D198" s="78"/>
      <c r="E198" s="91"/>
    </row>
    <row r="199" spans="2:5" x14ac:dyDescent="0.2">
      <c r="B199" s="90"/>
      <c r="C199" s="78"/>
      <c r="D199" s="78"/>
      <c r="E199" s="78"/>
    </row>
    <row r="200" spans="2:5" x14ac:dyDescent="0.2">
      <c r="B200" s="90"/>
      <c r="C200" s="78"/>
      <c r="D200" s="78"/>
      <c r="E200" s="78"/>
    </row>
    <row r="201" spans="2:5" x14ac:dyDescent="0.2">
      <c r="B201" s="90"/>
      <c r="C201" s="78"/>
      <c r="D201" s="78"/>
      <c r="E201" s="91"/>
    </row>
    <row r="202" spans="2:5" x14ac:dyDescent="0.2">
      <c r="B202" s="90"/>
      <c r="C202" s="78"/>
      <c r="D202" s="78"/>
      <c r="E202" s="78"/>
    </row>
    <row r="203" spans="2:5" x14ac:dyDescent="0.2">
      <c r="B203" s="90"/>
      <c r="C203" s="78"/>
      <c r="D203" s="78"/>
      <c r="E203" s="78"/>
    </row>
    <row r="204" spans="2:5" x14ac:dyDescent="0.2">
      <c r="B204" s="90"/>
      <c r="C204" s="78"/>
      <c r="D204" s="78"/>
      <c r="E204" s="91"/>
    </row>
    <row r="205" spans="2:5" x14ac:dyDescent="0.2">
      <c r="B205" s="90"/>
      <c r="C205" s="78"/>
      <c r="D205" s="78"/>
      <c r="E205" s="78"/>
    </row>
    <row r="206" spans="2:5" x14ac:dyDescent="0.2">
      <c r="B206" s="90"/>
      <c r="C206" s="78"/>
      <c r="D206" s="78"/>
      <c r="E206" s="78"/>
    </row>
    <row r="207" spans="2:5" x14ac:dyDescent="0.2">
      <c r="B207" s="90"/>
      <c r="C207" s="78"/>
      <c r="D207" s="78"/>
      <c r="E207" s="91"/>
    </row>
    <row r="208" spans="2:5" x14ac:dyDescent="0.2">
      <c r="B208" s="90"/>
      <c r="C208" s="78"/>
      <c r="D208" s="78"/>
      <c r="E208" s="78"/>
    </row>
    <row r="209" spans="2:5" x14ac:dyDescent="0.2">
      <c r="B209" s="90"/>
      <c r="C209" s="78"/>
      <c r="D209" s="78"/>
      <c r="E209" s="78"/>
    </row>
    <row r="210" spans="2:5" x14ac:dyDescent="0.2">
      <c r="B210" s="90"/>
      <c r="C210" s="78"/>
      <c r="D210" s="78"/>
      <c r="E210" s="91"/>
    </row>
    <row r="211" spans="2:5" x14ac:dyDescent="0.2">
      <c r="B211" s="90"/>
      <c r="C211" s="78"/>
      <c r="D211" s="78"/>
      <c r="E211" s="78"/>
    </row>
    <row r="212" spans="2:5" x14ac:dyDescent="0.2">
      <c r="B212" s="90"/>
      <c r="C212" s="78"/>
      <c r="D212" s="78"/>
      <c r="E212" s="78"/>
    </row>
    <row r="213" spans="2:5" x14ac:dyDescent="0.2">
      <c r="B213" s="90"/>
      <c r="C213" s="78"/>
      <c r="D213" s="78"/>
      <c r="E213" s="91"/>
    </row>
    <row r="214" spans="2:5" x14ac:dyDescent="0.2">
      <c r="B214" s="90"/>
      <c r="C214" s="78"/>
      <c r="D214" s="78"/>
      <c r="E214" s="78"/>
    </row>
    <row r="215" spans="2:5" x14ac:dyDescent="0.2">
      <c r="B215" s="90"/>
      <c r="C215" s="78"/>
      <c r="D215" s="78"/>
      <c r="E215" s="78"/>
    </row>
    <row r="216" spans="2:5" x14ac:dyDescent="0.2">
      <c r="B216" s="90"/>
      <c r="C216" s="78"/>
      <c r="D216" s="78"/>
      <c r="E216" s="91"/>
    </row>
    <row r="217" spans="2:5" x14ac:dyDescent="0.2">
      <c r="B217" s="90"/>
      <c r="C217" s="78"/>
      <c r="D217" s="78"/>
      <c r="E217" s="78"/>
    </row>
    <row r="218" spans="2:5" x14ac:dyDescent="0.2">
      <c r="B218" s="90"/>
      <c r="C218" s="78"/>
      <c r="D218" s="78"/>
      <c r="E218" s="78"/>
    </row>
    <row r="219" spans="2:5" x14ac:dyDescent="0.2">
      <c r="B219" s="90"/>
      <c r="C219" s="78"/>
      <c r="D219" s="78"/>
      <c r="E219" s="91"/>
    </row>
    <row r="220" spans="2:5" x14ac:dyDescent="0.2">
      <c r="B220" s="90"/>
      <c r="C220" s="78"/>
      <c r="D220" s="78"/>
      <c r="E220" s="78"/>
    </row>
    <row r="221" spans="2:5" x14ac:dyDescent="0.2">
      <c r="B221" s="90"/>
      <c r="C221" s="78"/>
      <c r="D221" s="78"/>
      <c r="E221" s="78"/>
    </row>
    <row r="222" spans="2:5" x14ac:dyDescent="0.2">
      <c r="B222" s="90"/>
      <c r="C222" s="78"/>
      <c r="D222" s="78"/>
      <c r="E222" s="91"/>
    </row>
    <row r="223" spans="2:5" x14ac:dyDescent="0.2">
      <c r="B223" s="90"/>
      <c r="C223" s="78"/>
      <c r="D223" s="78"/>
      <c r="E223" s="78"/>
    </row>
    <row r="224" spans="2:5" x14ac:dyDescent="0.2">
      <c r="B224" s="90"/>
      <c r="C224" s="78"/>
      <c r="D224" s="78"/>
      <c r="E224" s="78"/>
    </row>
    <row r="225" spans="2:5" x14ac:dyDescent="0.2">
      <c r="B225" s="90"/>
      <c r="C225" s="78"/>
      <c r="D225" s="78"/>
      <c r="E225" s="91"/>
    </row>
    <row r="226" spans="2:5" x14ac:dyDescent="0.2">
      <c r="B226" s="90"/>
      <c r="C226" s="78"/>
      <c r="D226" s="78"/>
      <c r="E226" s="78"/>
    </row>
    <row r="227" spans="2:5" x14ac:dyDescent="0.2">
      <c r="B227" s="90"/>
      <c r="C227" s="78"/>
      <c r="D227" s="78"/>
      <c r="E227" s="78"/>
    </row>
    <row r="228" spans="2:5" x14ac:dyDescent="0.2">
      <c r="B228" s="90"/>
      <c r="C228" s="78"/>
      <c r="D228" s="78"/>
      <c r="E228" s="91"/>
    </row>
    <row r="229" spans="2:5" x14ac:dyDescent="0.2">
      <c r="B229" s="90"/>
      <c r="C229" s="78"/>
      <c r="D229" s="78"/>
      <c r="E229" s="78"/>
    </row>
    <row r="230" spans="2:5" x14ac:dyDescent="0.2">
      <c r="B230" s="90"/>
      <c r="C230" s="78"/>
      <c r="D230" s="78"/>
      <c r="E230" s="78"/>
    </row>
    <row r="231" spans="2:5" x14ac:dyDescent="0.2">
      <c r="B231" s="90"/>
      <c r="C231" s="78"/>
      <c r="D231" s="78"/>
      <c r="E231" s="91"/>
    </row>
    <row r="232" spans="2:5" x14ac:dyDescent="0.2">
      <c r="B232" s="90"/>
      <c r="C232" s="78"/>
      <c r="D232" s="78"/>
      <c r="E232" s="78"/>
    </row>
    <row r="233" spans="2:5" x14ac:dyDescent="0.2">
      <c r="B233" s="90"/>
      <c r="C233" s="78"/>
      <c r="D233" s="78"/>
      <c r="E233" s="78"/>
    </row>
    <row r="234" spans="2:5" x14ac:dyDescent="0.2">
      <c r="B234" s="90"/>
      <c r="C234" s="78"/>
      <c r="D234" s="78"/>
      <c r="E234" s="91"/>
    </row>
    <row r="235" spans="2:5" x14ac:dyDescent="0.2">
      <c r="B235" s="90"/>
      <c r="C235" s="78"/>
      <c r="D235" s="78"/>
      <c r="E235" s="78"/>
    </row>
    <row r="236" spans="2:5" x14ac:dyDescent="0.2">
      <c r="B236" s="90"/>
      <c r="C236" s="78"/>
      <c r="D236" s="78"/>
      <c r="E236" s="78"/>
    </row>
    <row r="237" spans="2:5" x14ac:dyDescent="0.2">
      <c r="B237" s="90"/>
      <c r="C237" s="78"/>
      <c r="D237" s="78"/>
      <c r="E237" s="91"/>
    </row>
    <row r="238" spans="2:5" x14ac:dyDescent="0.2">
      <c r="B238" s="90"/>
      <c r="C238" s="78"/>
      <c r="D238" s="78"/>
      <c r="E238" s="78"/>
    </row>
    <row r="239" spans="2:5" x14ac:dyDescent="0.2">
      <c r="B239" s="90"/>
      <c r="C239" s="78"/>
      <c r="D239" s="78"/>
      <c r="E239" s="78"/>
    </row>
    <row r="240" spans="2:5" x14ac:dyDescent="0.2">
      <c r="B240" s="90"/>
      <c r="C240" s="78"/>
      <c r="D240" s="78"/>
      <c r="E240" s="91"/>
    </row>
    <row r="241" spans="2:5" x14ac:dyDescent="0.2">
      <c r="B241" s="90"/>
      <c r="C241" s="78"/>
      <c r="D241" s="78"/>
      <c r="E241" s="78"/>
    </row>
    <row r="242" spans="2:5" x14ac:dyDescent="0.2">
      <c r="B242" s="90"/>
      <c r="C242" s="78"/>
      <c r="D242" s="78"/>
      <c r="E242" s="78"/>
    </row>
    <row r="243" spans="2:5" x14ac:dyDescent="0.2">
      <c r="B243" s="90"/>
      <c r="C243" s="78"/>
      <c r="D243" s="78"/>
      <c r="E243" s="91"/>
    </row>
    <row r="244" spans="2:5" x14ac:dyDescent="0.2">
      <c r="B244" s="90"/>
      <c r="C244" s="78"/>
      <c r="D244" s="78"/>
      <c r="E244" s="78"/>
    </row>
    <row r="245" spans="2:5" x14ac:dyDescent="0.2">
      <c r="B245" s="90"/>
      <c r="C245" s="78"/>
      <c r="D245" s="78"/>
      <c r="E245" s="78"/>
    </row>
    <row r="246" spans="2:5" x14ac:dyDescent="0.2">
      <c r="B246" s="90"/>
      <c r="C246" s="78"/>
      <c r="D246" s="78"/>
      <c r="E246" s="91"/>
    </row>
    <row r="247" spans="2:5" x14ac:dyDescent="0.2">
      <c r="B247" s="90"/>
      <c r="C247" s="78"/>
      <c r="D247" s="78"/>
      <c r="E247" s="78"/>
    </row>
    <row r="248" spans="2:5" x14ac:dyDescent="0.2">
      <c r="B248" s="90"/>
      <c r="C248" s="78"/>
      <c r="D248" s="78"/>
      <c r="E248" s="78"/>
    </row>
    <row r="249" spans="2:5" x14ac:dyDescent="0.2">
      <c r="B249" s="90"/>
      <c r="C249" s="78"/>
      <c r="D249" s="78"/>
      <c r="E249" s="91"/>
    </row>
    <row r="250" spans="2:5" x14ac:dyDescent="0.2">
      <c r="B250" s="90"/>
      <c r="C250" s="78"/>
      <c r="D250" s="78"/>
      <c r="E250" s="78"/>
    </row>
    <row r="251" spans="2:5" x14ac:dyDescent="0.2">
      <c r="B251" s="90"/>
      <c r="C251" s="78"/>
      <c r="D251" s="78"/>
      <c r="E251" s="78"/>
    </row>
    <row r="252" spans="2:5" x14ac:dyDescent="0.2">
      <c r="B252" s="90"/>
      <c r="C252" s="78"/>
      <c r="D252" s="78"/>
      <c r="E252" s="91"/>
    </row>
    <row r="253" spans="2:5" x14ac:dyDescent="0.2">
      <c r="B253" s="90"/>
      <c r="C253" s="78"/>
      <c r="D253" s="78"/>
      <c r="E253" s="78"/>
    </row>
    <row r="254" spans="2:5" x14ac:dyDescent="0.2">
      <c r="B254" s="90"/>
      <c r="C254" s="78"/>
      <c r="D254" s="78"/>
      <c r="E254" s="78"/>
    </row>
    <row r="255" spans="2:5" x14ac:dyDescent="0.2">
      <c r="B255" s="90"/>
      <c r="C255" s="78"/>
      <c r="D255" s="78"/>
      <c r="E255" s="91"/>
    </row>
    <row r="256" spans="2:5" x14ac:dyDescent="0.2">
      <c r="B256" s="90"/>
      <c r="C256" s="78"/>
      <c r="D256" s="78"/>
      <c r="E256" s="78"/>
    </row>
    <row r="257" spans="2:5" x14ac:dyDescent="0.2">
      <c r="B257" s="90"/>
      <c r="C257" s="78"/>
      <c r="D257" s="78"/>
      <c r="E257" s="78"/>
    </row>
    <row r="258" spans="2:5" x14ac:dyDescent="0.2">
      <c r="B258" s="90"/>
      <c r="C258" s="78"/>
      <c r="D258" s="78"/>
      <c r="E258" s="91"/>
    </row>
    <row r="259" spans="2:5" x14ac:dyDescent="0.2">
      <c r="B259" s="90"/>
      <c r="C259" s="78"/>
      <c r="D259" s="78"/>
      <c r="E259" s="78"/>
    </row>
    <row r="260" spans="2:5" x14ac:dyDescent="0.2">
      <c r="B260" s="90"/>
      <c r="C260" s="78"/>
      <c r="D260" s="78"/>
      <c r="E260" s="78"/>
    </row>
    <row r="261" spans="2:5" x14ac:dyDescent="0.2">
      <c r="B261" s="90"/>
      <c r="C261" s="78"/>
      <c r="D261" s="78"/>
      <c r="E261" s="91"/>
    </row>
    <row r="262" spans="2:5" x14ac:dyDescent="0.2">
      <c r="B262" s="90"/>
      <c r="C262" s="78"/>
      <c r="D262" s="78"/>
      <c r="E262" s="78"/>
    </row>
    <row r="263" spans="2:5" x14ac:dyDescent="0.2">
      <c r="B263" s="90"/>
      <c r="C263" s="78"/>
      <c r="D263" s="78"/>
      <c r="E263" s="78"/>
    </row>
    <row r="264" spans="2:5" x14ac:dyDescent="0.2">
      <c r="B264" s="90"/>
      <c r="C264" s="78"/>
      <c r="D264" s="78"/>
      <c r="E264" s="91"/>
    </row>
    <row r="265" spans="2:5" x14ac:dyDescent="0.2">
      <c r="B265" s="90"/>
      <c r="C265" s="78"/>
      <c r="D265" s="78"/>
      <c r="E265" s="78"/>
    </row>
    <row r="266" spans="2:5" x14ac:dyDescent="0.2">
      <c r="B266" s="90"/>
      <c r="C266" s="78"/>
      <c r="D266" s="78"/>
      <c r="E266" s="78"/>
    </row>
    <row r="267" spans="2:5" x14ac:dyDescent="0.2">
      <c r="B267" s="90"/>
      <c r="C267" s="78"/>
      <c r="D267" s="78"/>
      <c r="E267" s="91"/>
    </row>
    <row r="268" spans="2:5" x14ac:dyDescent="0.2">
      <c r="B268" s="90"/>
      <c r="C268" s="78"/>
      <c r="D268" s="78"/>
      <c r="E268" s="78"/>
    </row>
    <row r="269" spans="2:5" x14ac:dyDescent="0.2">
      <c r="B269" s="90"/>
      <c r="C269" s="78"/>
      <c r="D269" s="78"/>
      <c r="E269" s="78"/>
    </row>
    <row r="270" spans="2:5" x14ac:dyDescent="0.2">
      <c r="B270" s="90"/>
      <c r="C270" s="78"/>
      <c r="D270" s="78"/>
      <c r="E270" s="91"/>
    </row>
    <row r="271" spans="2:5" x14ac:dyDescent="0.2">
      <c r="B271" s="90"/>
      <c r="C271" s="78"/>
      <c r="D271" s="78"/>
      <c r="E271" s="78"/>
    </row>
    <row r="272" spans="2:5" x14ac:dyDescent="0.2">
      <c r="B272" s="90"/>
      <c r="C272" s="78"/>
      <c r="D272" s="78"/>
      <c r="E272" s="78"/>
    </row>
    <row r="273" spans="2:5" x14ac:dyDescent="0.2">
      <c r="B273" s="90"/>
      <c r="C273" s="78"/>
      <c r="D273" s="78"/>
      <c r="E273" s="91"/>
    </row>
    <row r="274" spans="2:5" x14ac:dyDescent="0.2">
      <c r="B274" s="90"/>
      <c r="C274" s="78"/>
      <c r="D274" s="78"/>
      <c r="E274" s="78"/>
    </row>
    <row r="275" spans="2:5" x14ac:dyDescent="0.2">
      <c r="B275" s="90"/>
      <c r="C275" s="78"/>
      <c r="D275" s="78"/>
      <c r="E275" s="78"/>
    </row>
    <row r="276" spans="2:5" x14ac:dyDescent="0.2">
      <c r="B276" s="90"/>
      <c r="C276" s="78"/>
      <c r="D276" s="78"/>
      <c r="E276" s="91"/>
    </row>
    <row r="277" spans="2:5" x14ac:dyDescent="0.2">
      <c r="B277" s="90"/>
      <c r="C277" s="78"/>
      <c r="D277" s="78"/>
      <c r="E277" s="78"/>
    </row>
    <row r="278" spans="2:5" x14ac:dyDescent="0.2">
      <c r="B278" s="90"/>
      <c r="C278" s="78"/>
      <c r="D278" s="78"/>
      <c r="E278" s="78"/>
    </row>
    <row r="279" spans="2:5" x14ac:dyDescent="0.2">
      <c r="B279" s="90"/>
      <c r="C279" s="78"/>
      <c r="D279" s="78"/>
      <c r="E279" s="91"/>
    </row>
    <row r="280" spans="2:5" x14ac:dyDescent="0.2">
      <c r="B280" s="90"/>
      <c r="C280" s="78"/>
      <c r="D280" s="78"/>
      <c r="E280" s="78"/>
    </row>
    <row r="281" spans="2:5" x14ac:dyDescent="0.2">
      <c r="B281" s="90"/>
      <c r="C281" s="78"/>
      <c r="D281" s="78"/>
      <c r="E281" s="78"/>
    </row>
    <row r="282" spans="2:5" x14ac:dyDescent="0.2">
      <c r="B282" s="90"/>
      <c r="C282" s="78"/>
      <c r="D282" s="78"/>
      <c r="E282" s="91"/>
    </row>
    <row r="283" spans="2:5" x14ac:dyDescent="0.2">
      <c r="B283" s="90"/>
      <c r="C283" s="78"/>
      <c r="D283" s="78"/>
      <c r="E283" s="78"/>
    </row>
    <row r="284" spans="2:5" x14ac:dyDescent="0.2">
      <c r="B284" s="90"/>
      <c r="C284" s="78"/>
      <c r="D284" s="78"/>
      <c r="E284" s="78"/>
    </row>
    <row r="285" spans="2:5" x14ac:dyDescent="0.2">
      <c r="B285" s="90"/>
      <c r="C285" s="78"/>
      <c r="D285" s="78"/>
      <c r="E285" s="91"/>
    </row>
  </sheetData>
  <autoFilter ref="B23:H59" xr:uid="{1BB1166D-B958-474F-902C-01D8932A43F1}"/>
  <hyperlinks>
    <hyperlink ref="C4" r:id="rId2" display="Citizen advice" xr:uid="{CACF6AFC-28FB-4E7F-8173-98733DCAE12A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137</v>
      </c>
    </row>
    <row r="3" spans="2:7" x14ac:dyDescent="0.2">
      <c r="B3" s="83" t="s">
        <v>85</v>
      </c>
      <c r="C3" s="87" t="s">
        <v>138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139</v>
      </c>
    </row>
    <row r="7" spans="2:7" x14ac:dyDescent="0.2">
      <c r="B7" s="130" t="s">
        <v>111</v>
      </c>
      <c r="C7" s="85" t="s">
        <v>140</v>
      </c>
      <c r="D7" s="131" t="s">
        <v>117</v>
      </c>
      <c r="E7" s="131" t="s">
        <v>141</v>
      </c>
      <c r="F7" s="131" t="s">
        <v>142</v>
      </c>
      <c r="G7" s="131" t="s">
        <v>106</v>
      </c>
    </row>
    <row r="8" spans="2:7" customFormat="1" hidden="1" x14ac:dyDescent="0.2">
      <c r="B8" s="100">
        <v>2017</v>
      </c>
      <c r="C8" s="108" t="s">
        <v>143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143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143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143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143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143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143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143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143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144</v>
      </c>
    </row>
    <row r="3" spans="2:5" x14ac:dyDescent="0.2">
      <c r="B3" s="52" t="s">
        <v>85</v>
      </c>
      <c r="C3" s="53" t="s">
        <v>138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145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146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147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148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149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150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151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152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153</v>
      </c>
    </row>
    <row r="3" spans="2:7" s="52" customFormat="1" x14ac:dyDescent="0.2">
      <c r="B3" s="52" t="s">
        <v>85</v>
      </c>
      <c r="C3" s="53" t="s">
        <v>154</v>
      </c>
    </row>
    <row r="4" spans="2:7" s="52" customFormat="1" x14ac:dyDescent="0.2">
      <c r="B4" s="52" t="s">
        <v>87</v>
      </c>
      <c r="C4" s="54" t="s">
        <v>155</v>
      </c>
    </row>
    <row r="5" spans="2:7" s="52" customFormat="1" x14ac:dyDescent="0.2">
      <c r="B5" s="52" t="s">
        <v>89</v>
      </c>
    </row>
    <row r="7" spans="2:7" ht="17" x14ac:dyDescent="0.2">
      <c r="B7" s="113" t="s">
        <v>156</v>
      </c>
      <c r="C7" s="113">
        <v>2019</v>
      </c>
      <c r="D7" s="113" t="s">
        <v>157</v>
      </c>
      <c r="E7" s="113">
        <v>2021</v>
      </c>
      <c r="F7" s="113" t="s">
        <v>158</v>
      </c>
      <c r="G7" s="113">
        <v>2023</v>
      </c>
    </row>
    <row r="8" spans="2:7" ht="17" x14ac:dyDescent="0.2">
      <c r="B8" s="111" t="s">
        <v>159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160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161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162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163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164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165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166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167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168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169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170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171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172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173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174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175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176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177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178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179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180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181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182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183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184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185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186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187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188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189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136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190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191</v>
      </c>
    </row>
    <row r="7" spans="2:4" x14ac:dyDescent="0.2">
      <c r="B7" s="85" t="s">
        <v>192</v>
      </c>
      <c r="C7" s="85" t="s">
        <v>118</v>
      </c>
      <c r="D7" s="85" t="s">
        <v>93</v>
      </c>
    </row>
    <row r="8" spans="2:4" ht="34" x14ac:dyDescent="0.2">
      <c r="B8" s="114" t="s">
        <v>193</v>
      </c>
      <c r="C8" s="84">
        <v>1618</v>
      </c>
      <c r="D8" s="88">
        <v>0.90391061452513999</v>
      </c>
    </row>
    <row r="9" spans="2:4" ht="17" x14ac:dyDescent="0.2">
      <c r="B9" s="114" t="s">
        <v>194</v>
      </c>
      <c r="C9" s="84">
        <v>133</v>
      </c>
      <c r="D9" s="88">
        <v>7.4301675977653595E-2</v>
      </c>
    </row>
    <row r="10" spans="2:4" ht="68" x14ac:dyDescent="0.2">
      <c r="B10" s="114" t="s">
        <v>195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196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197</v>
      </c>
      <c r="C7" s="140" t="s">
        <v>118</v>
      </c>
      <c r="D7" s="140" t="s">
        <v>93</v>
      </c>
    </row>
    <row r="8" spans="2:4" x14ac:dyDescent="0.2">
      <c r="B8" s="139" t="s">
        <v>198</v>
      </c>
      <c r="C8" s="139">
        <v>760</v>
      </c>
      <c r="D8" s="141">
        <v>0.42458100558659201</v>
      </c>
    </row>
    <row r="9" spans="2:4" x14ac:dyDescent="0.2">
      <c r="B9" s="139" t="s">
        <v>199</v>
      </c>
      <c r="C9" s="139">
        <v>582</v>
      </c>
      <c r="D9" s="141">
        <v>0.32513966480446899</v>
      </c>
    </row>
    <row r="10" spans="2:4" x14ac:dyDescent="0.2">
      <c r="B10" s="139" t="s">
        <v>200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3" zoomScale="80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201</v>
      </c>
    </row>
    <row r="3" spans="2:15" x14ac:dyDescent="0.2">
      <c r="B3" s="83" t="s">
        <v>85</v>
      </c>
      <c r="C3" s="83" t="s">
        <v>202</v>
      </c>
    </row>
    <row r="4" spans="2:15" x14ac:dyDescent="0.2">
      <c r="B4" s="83" t="s">
        <v>87</v>
      </c>
      <c r="C4" s="82" t="s">
        <v>203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204</v>
      </c>
      <c r="C7" s="85" t="s">
        <v>205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206</v>
      </c>
      <c r="C8" s="84" t="s">
        <v>207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206</v>
      </c>
      <c r="C9" s="84" t="s">
        <v>208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206</v>
      </c>
      <c r="C10" s="84" t="s">
        <v>209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206</v>
      </c>
      <c r="C11" s="84" t="s">
        <v>210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206</v>
      </c>
      <c r="C12" s="84" t="s">
        <v>211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206</v>
      </c>
      <c r="C13" s="84" t="s">
        <v>212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206</v>
      </c>
      <c r="C14" s="84" t="s">
        <v>213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206</v>
      </c>
      <c r="C15" s="84" t="s">
        <v>214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206</v>
      </c>
      <c r="C16" s="84" t="s">
        <v>215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206</v>
      </c>
      <c r="C17" s="84" t="s">
        <v>216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206</v>
      </c>
      <c r="C18" s="84" t="s">
        <v>217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218</v>
      </c>
      <c r="C19" s="84" t="s">
        <v>219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218</v>
      </c>
      <c r="C20" s="84" t="s">
        <v>220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218</v>
      </c>
      <c r="C21" s="84" t="s">
        <v>221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218</v>
      </c>
      <c r="C22" s="84" t="s">
        <v>222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218</v>
      </c>
      <c r="C23" s="84" t="s">
        <v>223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218</v>
      </c>
      <c r="C24" s="84" t="s">
        <v>224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218</v>
      </c>
      <c r="C25" s="84" t="s">
        <v>225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218</v>
      </c>
      <c r="C26" s="84" t="s">
        <v>226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218</v>
      </c>
      <c r="C27" s="84" t="s">
        <v>227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218</v>
      </c>
      <c r="C28" s="84" t="s">
        <v>228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218</v>
      </c>
      <c r="C29" s="84" t="s">
        <v>229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218</v>
      </c>
      <c r="C30" s="84" t="s">
        <v>215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218</v>
      </c>
      <c r="C31" s="84" t="s">
        <v>230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218</v>
      </c>
      <c r="C32" s="84" t="s">
        <v>231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218</v>
      </c>
      <c r="C33" s="84" t="s">
        <v>232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218</v>
      </c>
      <c r="C34" s="84" t="s">
        <v>233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218</v>
      </c>
      <c r="C35" s="84" t="s">
        <v>234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218</v>
      </c>
      <c r="C36" s="84" t="s">
        <v>235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218</v>
      </c>
      <c r="C37" s="84" t="s">
        <v>236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218</v>
      </c>
      <c r="C38" s="84" t="s">
        <v>237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218</v>
      </c>
      <c r="C39" s="84" t="s">
        <v>238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218</v>
      </c>
      <c r="C40" s="84" t="s">
        <v>239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218</v>
      </c>
      <c r="C41" s="84" t="s">
        <v>240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218</v>
      </c>
      <c r="C42" s="84" t="s">
        <v>241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218</v>
      </c>
      <c r="C43" s="84" t="s">
        <v>242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243</v>
      </c>
      <c r="C44" s="84" t="s">
        <v>219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243</v>
      </c>
      <c r="C45" s="84" t="s">
        <v>220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243</v>
      </c>
      <c r="C46" s="84" t="s">
        <v>221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243</v>
      </c>
      <c r="C47" s="84" t="s">
        <v>222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243</v>
      </c>
      <c r="C48" s="84" t="s">
        <v>223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243</v>
      </c>
      <c r="C49" s="84" t="s">
        <v>224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243</v>
      </c>
      <c r="C50" s="84" t="s">
        <v>225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243</v>
      </c>
      <c r="C51" s="84" t="s">
        <v>226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243</v>
      </c>
      <c r="C52" s="84" t="s">
        <v>227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243</v>
      </c>
      <c r="C53" s="84" t="s">
        <v>228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243</v>
      </c>
      <c r="C54" s="84" t="s">
        <v>229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243</v>
      </c>
      <c r="C55" s="84" t="s">
        <v>215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243</v>
      </c>
      <c r="C56" s="84" t="s">
        <v>232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243</v>
      </c>
      <c r="C57" s="84" t="s">
        <v>244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243</v>
      </c>
      <c r="C58" s="84" t="s">
        <v>235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243</v>
      </c>
      <c r="C59" s="84" t="s">
        <v>236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243</v>
      </c>
      <c r="C60" s="84" t="s">
        <v>237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243</v>
      </c>
      <c r="C61" s="84" t="s">
        <v>239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243</v>
      </c>
      <c r="C62" s="84" t="s">
        <v>242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245</v>
      </c>
      <c r="C63" s="84" t="s">
        <v>246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245</v>
      </c>
      <c r="C64" s="84" t="s">
        <v>247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245</v>
      </c>
      <c r="C65" s="84" t="s">
        <v>248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245</v>
      </c>
      <c r="C66" s="84" t="s">
        <v>249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245</v>
      </c>
      <c r="C67" s="84" t="s">
        <v>250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245</v>
      </c>
      <c r="C68" s="84" t="s">
        <v>251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245</v>
      </c>
      <c r="C69" s="84" t="s">
        <v>252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245</v>
      </c>
      <c r="C70" s="84" t="s">
        <v>253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245</v>
      </c>
      <c r="C71" s="84" t="s">
        <v>254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245</v>
      </c>
      <c r="C72" s="84" t="s">
        <v>255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245</v>
      </c>
      <c r="C73" s="84" t="s">
        <v>256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245</v>
      </c>
      <c r="C74" s="84" t="s">
        <v>257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245</v>
      </c>
      <c r="C75" s="84" t="s">
        <v>258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245</v>
      </c>
      <c r="C76" s="84" t="s">
        <v>259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245</v>
      </c>
      <c r="C77" s="84" t="s">
        <v>215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245</v>
      </c>
      <c r="C78" s="84" t="s">
        <v>260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245</v>
      </c>
      <c r="C79" s="84" t="s">
        <v>261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245</v>
      </c>
      <c r="C80" s="84" t="s">
        <v>242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262</v>
      </c>
      <c r="C81" s="84" t="s">
        <v>263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262</v>
      </c>
      <c r="C82" s="84" t="s">
        <v>264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262</v>
      </c>
      <c r="C83" s="84" t="s">
        <v>265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262</v>
      </c>
      <c r="C84" s="84" t="s">
        <v>266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262</v>
      </c>
      <c r="C85" s="84" t="s">
        <v>267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262</v>
      </c>
      <c r="C86" s="84" t="s">
        <v>268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262</v>
      </c>
      <c r="C87" s="84" t="s">
        <v>269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262</v>
      </c>
      <c r="C88" s="84" t="s">
        <v>270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262</v>
      </c>
      <c r="C89" s="84" t="s">
        <v>271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262</v>
      </c>
      <c r="C90" s="84" t="s">
        <v>272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262</v>
      </c>
      <c r="C91" s="84" t="s">
        <v>273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262</v>
      </c>
      <c r="C92" s="84" t="s">
        <v>274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262</v>
      </c>
      <c r="C93" s="84" t="s">
        <v>215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262</v>
      </c>
      <c r="C94" s="84" t="s">
        <v>275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262</v>
      </c>
      <c r="C95" s="84" t="s">
        <v>242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276</v>
      </c>
      <c r="C96" s="84" t="s">
        <v>277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276</v>
      </c>
      <c r="C97" s="84" t="s">
        <v>278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276</v>
      </c>
      <c r="C98" s="84" t="s">
        <v>279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276</v>
      </c>
      <c r="C99" s="84" t="s">
        <v>280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276</v>
      </c>
      <c r="C100" s="84" t="s">
        <v>281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276</v>
      </c>
      <c r="C101" s="84" t="s">
        <v>282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276</v>
      </c>
      <c r="C102" s="84" t="s">
        <v>283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276</v>
      </c>
      <c r="C103" s="84" t="s">
        <v>284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276</v>
      </c>
      <c r="C104" s="84" t="s">
        <v>284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276</v>
      </c>
      <c r="C105" s="84" t="s">
        <v>285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276</v>
      </c>
      <c r="C106" s="84" t="s">
        <v>286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276</v>
      </c>
      <c r="C107" s="84" t="s">
        <v>248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276</v>
      </c>
      <c r="C108" s="84" t="s">
        <v>287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276</v>
      </c>
      <c r="C109" s="84" t="s">
        <v>288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276</v>
      </c>
      <c r="C110" s="84" t="s">
        <v>289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276</v>
      </c>
      <c r="C111" s="84" t="s">
        <v>290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276</v>
      </c>
      <c r="C112" s="84" t="s">
        <v>291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276</v>
      </c>
      <c r="C113" s="84" t="s">
        <v>292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276</v>
      </c>
      <c r="C114" s="84" t="s">
        <v>293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276</v>
      </c>
      <c r="C115" s="84" t="s">
        <v>252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276</v>
      </c>
      <c r="C116" s="84" t="s">
        <v>294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276</v>
      </c>
      <c r="C117" s="84" t="s">
        <v>295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276</v>
      </c>
      <c r="C118" s="84" t="s">
        <v>296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276</v>
      </c>
      <c r="C119" s="84" t="s">
        <v>274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276</v>
      </c>
      <c r="C120" s="84" t="s">
        <v>297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276</v>
      </c>
      <c r="C121" s="84" t="s">
        <v>298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276</v>
      </c>
      <c r="C122" s="84" t="s">
        <v>215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276</v>
      </c>
      <c r="C123" s="84" t="s">
        <v>299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276</v>
      </c>
      <c r="C124" s="84" t="s">
        <v>300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276</v>
      </c>
      <c r="C125" s="84" t="s">
        <v>301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276</v>
      </c>
      <c r="C126" s="84" t="s">
        <v>302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276</v>
      </c>
      <c r="C127" s="84" t="s">
        <v>303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276</v>
      </c>
      <c r="C128" s="84" t="s">
        <v>304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276</v>
      </c>
      <c r="C129" s="84" t="s">
        <v>305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276</v>
      </c>
      <c r="C130" s="84" t="s">
        <v>306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276</v>
      </c>
      <c r="C131" s="84" t="s">
        <v>307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276</v>
      </c>
      <c r="C132" s="84" t="s">
        <v>242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308</v>
      </c>
      <c r="C133" s="84" t="s">
        <v>278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308</v>
      </c>
      <c r="C134" s="84" t="s">
        <v>279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308</v>
      </c>
      <c r="C135" s="84" t="s">
        <v>280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308</v>
      </c>
      <c r="C136" s="84" t="s">
        <v>281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308</v>
      </c>
      <c r="C137" s="84" t="s">
        <v>282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308</v>
      </c>
      <c r="C138" s="84" t="s">
        <v>309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308</v>
      </c>
      <c r="C139" s="84" t="s">
        <v>284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308</v>
      </c>
      <c r="C140" s="84" t="s">
        <v>252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308</v>
      </c>
      <c r="C141" s="84" t="s">
        <v>285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308</v>
      </c>
      <c r="C142" s="84" t="s">
        <v>286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308</v>
      </c>
      <c r="C143" s="84" t="s">
        <v>248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308</v>
      </c>
      <c r="C144" s="84" t="s">
        <v>287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308</v>
      </c>
      <c r="C145" s="84" t="s">
        <v>288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308</v>
      </c>
      <c r="C146" s="84" t="s">
        <v>289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308</v>
      </c>
      <c r="C147" s="84" t="s">
        <v>310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308</v>
      </c>
      <c r="C148" s="84" t="s">
        <v>311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308</v>
      </c>
      <c r="C149" s="84" t="s">
        <v>290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308</v>
      </c>
      <c r="C150" s="84" t="s">
        <v>292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308</v>
      </c>
      <c r="C151" s="84" t="s">
        <v>293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308</v>
      </c>
      <c r="C152" s="84" t="s">
        <v>271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308</v>
      </c>
      <c r="C153" s="84" t="s">
        <v>294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308</v>
      </c>
      <c r="C154" s="84" t="s">
        <v>296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308</v>
      </c>
      <c r="C155" s="84" t="s">
        <v>274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308</v>
      </c>
      <c r="C156" s="84" t="s">
        <v>297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308</v>
      </c>
      <c r="C157" s="84" t="s">
        <v>298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308</v>
      </c>
      <c r="C158" s="84" t="s">
        <v>215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308</v>
      </c>
      <c r="C159" s="84" t="s">
        <v>299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308</v>
      </c>
      <c r="C160" s="84" t="s">
        <v>300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308</v>
      </c>
      <c r="C161" s="84" t="s">
        <v>301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308</v>
      </c>
      <c r="C162" s="84" t="s">
        <v>302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308</v>
      </c>
      <c r="C163" s="84" t="s">
        <v>303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308</v>
      </c>
      <c r="C164" s="84" t="s">
        <v>304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308</v>
      </c>
      <c r="C165" s="84" t="s">
        <v>305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308</v>
      </c>
      <c r="C166" s="84" t="s">
        <v>312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308</v>
      </c>
      <c r="C167" s="84" t="s">
        <v>307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308</v>
      </c>
      <c r="C168" s="84" t="s">
        <v>242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313</v>
      </c>
      <c r="C169" s="84" t="s">
        <v>314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313</v>
      </c>
      <c r="C170" s="84" t="s">
        <v>278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313</v>
      </c>
      <c r="C171" s="84" t="s">
        <v>279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313</v>
      </c>
      <c r="C172" s="150" t="s">
        <v>280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313</v>
      </c>
      <c r="C173" s="84" t="s">
        <v>281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313</v>
      </c>
      <c r="C174" s="150" t="s">
        <v>309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313</v>
      </c>
      <c r="C175" s="84" t="s">
        <v>284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313</v>
      </c>
      <c r="C176" s="84" t="s">
        <v>285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313</v>
      </c>
      <c r="C177" s="84" t="s">
        <v>248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313</v>
      </c>
      <c r="C178" s="84" t="s">
        <v>287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313</v>
      </c>
      <c r="C179" s="84" t="s">
        <v>288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313</v>
      </c>
      <c r="C180" s="84" t="s">
        <v>289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313</v>
      </c>
      <c r="C181" s="84" t="s">
        <v>310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313</v>
      </c>
      <c r="C182" s="84" t="s">
        <v>311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313</v>
      </c>
      <c r="C183" s="84" t="s">
        <v>315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313</v>
      </c>
      <c r="C184" s="84" t="s">
        <v>316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313</v>
      </c>
      <c r="C185" s="84" t="s">
        <v>292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313</v>
      </c>
      <c r="C186" s="84" t="s">
        <v>317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313</v>
      </c>
      <c r="C187" s="84" t="s">
        <v>318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313</v>
      </c>
      <c r="C188" s="150" t="s">
        <v>319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313</v>
      </c>
      <c r="C189" s="84" t="s">
        <v>320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313</v>
      </c>
      <c r="C190" s="84" t="s">
        <v>294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313</v>
      </c>
      <c r="C191" s="84" t="s">
        <v>321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313</v>
      </c>
      <c r="C192" s="84" t="s">
        <v>322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313</v>
      </c>
      <c r="C193" s="84" t="s">
        <v>323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313</v>
      </c>
      <c r="C194" s="84" t="s">
        <v>324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313</v>
      </c>
      <c r="C195" s="84" t="s">
        <v>325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313</v>
      </c>
      <c r="C196" s="84" t="s">
        <v>296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313</v>
      </c>
      <c r="C197" s="84" t="s">
        <v>326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313</v>
      </c>
      <c r="C198" s="150" t="s">
        <v>327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313</v>
      </c>
      <c r="C199" s="84" t="s">
        <v>328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313</v>
      </c>
      <c r="C200" s="84" t="s">
        <v>274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313</v>
      </c>
      <c r="C201" s="84" t="s">
        <v>329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313</v>
      </c>
      <c r="C202" s="84" t="s">
        <v>297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313</v>
      </c>
      <c r="C203" s="150" t="s">
        <v>298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313</v>
      </c>
      <c r="C204" s="84" t="s">
        <v>215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313</v>
      </c>
      <c r="C205" s="84" t="s">
        <v>330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313</v>
      </c>
      <c r="C206" s="84" t="s">
        <v>331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313</v>
      </c>
      <c r="C207" s="84" t="s">
        <v>332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313</v>
      </c>
      <c r="C208" s="84" t="s">
        <v>300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313</v>
      </c>
      <c r="C209" s="84" t="s">
        <v>301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313</v>
      </c>
      <c r="C210" s="84" t="s">
        <v>333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313</v>
      </c>
      <c r="C211" s="84" t="s">
        <v>302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313</v>
      </c>
      <c r="C212" s="84" t="s">
        <v>334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313</v>
      </c>
      <c r="C213" s="84" t="s">
        <v>335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313</v>
      </c>
      <c r="C214" s="84" t="s">
        <v>336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313</v>
      </c>
      <c r="C215" s="84" t="s">
        <v>304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313</v>
      </c>
      <c r="C216" s="84" t="s">
        <v>305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313</v>
      </c>
      <c r="C217" s="84" t="s">
        <v>337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313</v>
      </c>
      <c r="C218" s="84" t="s">
        <v>338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313</v>
      </c>
      <c r="C219" s="84" t="s">
        <v>339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313</v>
      </c>
      <c r="C220" s="84" t="s">
        <v>340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313</v>
      </c>
      <c r="C221" s="84" t="s">
        <v>341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313</v>
      </c>
      <c r="C222" s="84" t="s">
        <v>242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342</v>
      </c>
      <c r="C223" s="84" t="s">
        <v>343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342</v>
      </c>
      <c r="C224" s="84" t="s">
        <v>248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342</v>
      </c>
      <c r="C225" s="84" t="s">
        <v>344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342</v>
      </c>
      <c r="C226" s="84" t="s">
        <v>345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342</v>
      </c>
      <c r="C227" s="84" t="s">
        <v>346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342</v>
      </c>
      <c r="C228" s="84" t="s">
        <v>294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342</v>
      </c>
      <c r="C229" s="84" t="s">
        <v>328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342</v>
      </c>
      <c r="C230" s="84" t="s">
        <v>296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342</v>
      </c>
      <c r="C231" s="84" t="s">
        <v>347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342</v>
      </c>
      <c r="C232" s="84" t="s">
        <v>215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342</v>
      </c>
      <c r="C233" s="84" t="s">
        <v>348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342</v>
      </c>
      <c r="C234" s="84" t="s">
        <v>300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342</v>
      </c>
      <c r="C235" s="84" t="s">
        <v>301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342</v>
      </c>
      <c r="C236" s="84" t="s">
        <v>302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342</v>
      </c>
      <c r="C237" s="84" t="s">
        <v>349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342</v>
      </c>
      <c r="C238" s="84" t="s">
        <v>350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342</v>
      </c>
      <c r="C239" s="84" t="s">
        <v>351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342</v>
      </c>
      <c r="C240" s="84" t="s">
        <v>352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342</v>
      </c>
      <c r="C241" s="84" t="s">
        <v>242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353</v>
      </c>
      <c r="C242" s="84" t="s">
        <v>354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353</v>
      </c>
      <c r="C243" s="84" t="s">
        <v>229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353</v>
      </c>
      <c r="C244" s="84" t="s">
        <v>355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353</v>
      </c>
      <c r="C245" s="84" t="s">
        <v>356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353</v>
      </c>
      <c r="C246" s="84" t="s">
        <v>357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353</v>
      </c>
      <c r="C247" s="84" t="s">
        <v>215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353</v>
      </c>
      <c r="C248" s="84" t="s">
        <v>242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358</v>
      </c>
      <c r="C249" s="84" t="s">
        <v>359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358</v>
      </c>
      <c r="C250" s="84" t="s">
        <v>360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358</v>
      </c>
      <c r="C251" s="84" t="s">
        <v>361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358</v>
      </c>
      <c r="C252" s="84" t="s">
        <v>215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362</v>
      </c>
      <c r="C253" s="84" t="s">
        <v>363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362</v>
      </c>
      <c r="C254" s="84" t="s">
        <v>364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362</v>
      </c>
      <c r="C255" s="84" t="s">
        <v>365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362</v>
      </c>
      <c r="C256" s="84" t="s">
        <v>366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362</v>
      </c>
      <c r="C257" s="84" t="s">
        <v>367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362</v>
      </c>
      <c r="C258" s="84" t="s">
        <v>368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362</v>
      </c>
      <c r="C259" s="84" t="s">
        <v>369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362</v>
      </c>
      <c r="C260" s="84" t="s">
        <v>370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362</v>
      </c>
      <c r="C261" s="84" t="s">
        <v>371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362</v>
      </c>
      <c r="C262" s="84" t="s">
        <v>372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362</v>
      </c>
      <c r="C263" s="84" t="s">
        <v>373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362</v>
      </c>
      <c r="C264" s="84" t="s">
        <v>274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362</v>
      </c>
      <c r="C265" s="84" t="s">
        <v>374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362</v>
      </c>
      <c r="C266" s="84" t="s">
        <v>375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362</v>
      </c>
      <c r="C267" s="84" t="s">
        <v>215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362</v>
      </c>
      <c r="C268" s="84" t="s">
        <v>376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362</v>
      </c>
      <c r="C269" s="84" t="s">
        <v>377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362</v>
      </c>
      <c r="C270" s="84" t="s">
        <v>378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362</v>
      </c>
      <c r="C271" s="84" t="s">
        <v>379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362</v>
      </c>
      <c r="C272" s="84" t="s">
        <v>242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tabSelected="1" topLeftCell="L6" zoomScale="96" zoomScaleNormal="96" workbookViewId="0">
      <selection activeCell="AJ8" sqref="AJ8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380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381</v>
      </c>
    </row>
    <row r="5" spans="2:36" x14ac:dyDescent="0.2">
      <c r="B5" s="52" t="s">
        <v>89</v>
      </c>
      <c r="C5" s="52" t="s">
        <v>382</v>
      </c>
    </row>
    <row r="7" spans="2:36" x14ac:dyDescent="0.2">
      <c r="B7" s="52" t="s">
        <v>383</v>
      </c>
      <c r="C7" s="52" t="s">
        <v>384</v>
      </c>
      <c r="D7" s="52" t="s">
        <v>160</v>
      </c>
      <c r="E7" s="52" t="s">
        <v>161</v>
      </c>
      <c r="F7" s="52" t="s">
        <v>162</v>
      </c>
      <c r="G7" s="52" t="s">
        <v>163</v>
      </c>
      <c r="H7" s="52" t="s">
        <v>385</v>
      </c>
      <c r="I7" s="52" t="s">
        <v>165</v>
      </c>
      <c r="J7" s="52" t="s">
        <v>166</v>
      </c>
      <c r="K7" s="52" t="s">
        <v>167</v>
      </c>
      <c r="L7" s="52" t="s">
        <v>386</v>
      </c>
      <c r="M7" s="52" t="s">
        <v>169</v>
      </c>
      <c r="N7" s="52" t="s">
        <v>387</v>
      </c>
      <c r="O7" s="52" t="s">
        <v>171</v>
      </c>
      <c r="P7" s="52" t="s">
        <v>172</v>
      </c>
      <c r="Q7" s="52" t="s">
        <v>173</v>
      </c>
      <c r="R7" s="52" t="s">
        <v>174</v>
      </c>
      <c r="S7" s="52" t="s">
        <v>175</v>
      </c>
      <c r="T7" s="52" t="s">
        <v>176</v>
      </c>
      <c r="U7" s="52" t="s">
        <v>388</v>
      </c>
      <c r="V7" s="52" t="s">
        <v>389</v>
      </c>
      <c r="W7" s="52" t="s">
        <v>179</v>
      </c>
      <c r="X7" s="52" t="s">
        <v>180</v>
      </c>
      <c r="Y7" s="52" t="s">
        <v>143</v>
      </c>
      <c r="Z7" s="52" t="s">
        <v>181</v>
      </c>
      <c r="AA7" s="52" t="s">
        <v>182</v>
      </c>
      <c r="AB7" s="52" t="s">
        <v>183</v>
      </c>
      <c r="AC7" s="52" t="s">
        <v>390</v>
      </c>
      <c r="AD7" s="52" t="s">
        <v>184</v>
      </c>
      <c r="AE7" s="52" t="s">
        <v>185</v>
      </c>
      <c r="AF7" s="52" t="s">
        <v>186</v>
      </c>
      <c r="AG7" s="52" t="s">
        <v>391</v>
      </c>
      <c r="AH7" s="52" t="s">
        <v>188</v>
      </c>
      <c r="AI7" s="52" t="s">
        <v>189</v>
      </c>
      <c r="AJ7" s="52" t="s">
        <v>567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392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393</v>
      </c>
    </row>
    <row r="5" spans="2:6" x14ac:dyDescent="0.2">
      <c r="B5" s="1" t="s">
        <v>89</v>
      </c>
    </row>
    <row r="7" spans="2:6" x14ac:dyDescent="0.2">
      <c r="B7" s="6" t="s">
        <v>394</v>
      </c>
      <c r="C7" s="6" t="s">
        <v>143</v>
      </c>
      <c r="D7" s="6" t="s">
        <v>395</v>
      </c>
      <c r="E7" s="6" t="s">
        <v>396</v>
      </c>
      <c r="F7" s="6" t="s">
        <v>397</v>
      </c>
    </row>
    <row r="8" spans="2:6" x14ac:dyDescent="0.2">
      <c r="B8" s="8" t="s">
        <v>398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399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400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401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402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403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404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405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406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407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408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409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410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411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412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413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414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415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416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417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418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419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420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421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383</v>
      </c>
      <c r="C8" s="12" t="s">
        <v>422</v>
      </c>
      <c r="D8" s="12" t="s">
        <v>423</v>
      </c>
      <c r="E8" s="6" t="s">
        <v>424</v>
      </c>
      <c r="F8" s="6" t="s">
        <v>425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426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427</v>
      </c>
    </row>
    <row r="7" spans="1:6" x14ac:dyDescent="0.2">
      <c r="B7" s="66"/>
      <c r="C7" s="64" t="s">
        <v>428</v>
      </c>
      <c r="D7" s="65"/>
      <c r="E7" s="64" t="s">
        <v>429</v>
      </c>
      <c r="F7" s="65"/>
    </row>
    <row r="8" spans="1:6" x14ac:dyDescent="0.2">
      <c r="B8" s="66"/>
      <c r="C8" s="68" t="s">
        <v>430</v>
      </c>
      <c r="D8" s="69" t="s">
        <v>143</v>
      </c>
      <c r="E8" s="68" t="s">
        <v>430</v>
      </c>
      <c r="F8" s="69" t="s">
        <v>143</v>
      </c>
    </row>
    <row r="9" spans="1:6" x14ac:dyDescent="0.2">
      <c r="A9" s="57"/>
      <c r="B9" s="67" t="s">
        <v>431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432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433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434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435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436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437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438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439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440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441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442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443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444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445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446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447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448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449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450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451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452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453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454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455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456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457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458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459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460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461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462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463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464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465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466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467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468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469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470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471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472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473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474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475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476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477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478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479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480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481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482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483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484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485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486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487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488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489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490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491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492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493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494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495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496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497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498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499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500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501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502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503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504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505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506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507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508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509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510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511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512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513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514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515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516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517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518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398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399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400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401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402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403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404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405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406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407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408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409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410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411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412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413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414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415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416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519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418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419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520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521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522</v>
      </c>
    </row>
    <row r="5" spans="2:6" x14ac:dyDescent="0.2">
      <c r="B5" s="1" t="s">
        <v>89</v>
      </c>
    </row>
    <row r="7" spans="2:6" x14ac:dyDescent="0.2">
      <c r="B7" s="6" t="s">
        <v>383</v>
      </c>
      <c r="C7" s="6" t="s">
        <v>523</v>
      </c>
      <c r="D7" s="6" t="s">
        <v>524</v>
      </c>
      <c r="E7" s="6" t="s">
        <v>525</v>
      </c>
      <c r="F7" s="6" t="s">
        <v>526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527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561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528</v>
      </c>
      <c r="G7" s="193"/>
      <c r="H7" s="194"/>
      <c r="I7" s="195" t="s">
        <v>529</v>
      </c>
      <c r="J7" s="196"/>
      <c r="K7" s="196"/>
      <c r="L7" s="197"/>
    </row>
    <row r="8" spans="2:14" ht="32" customHeight="1" x14ac:dyDescent="0.2">
      <c r="B8" s="105" t="s">
        <v>383</v>
      </c>
      <c r="C8" s="105" t="s">
        <v>530</v>
      </c>
      <c r="D8" s="105" t="s">
        <v>559</v>
      </c>
      <c r="E8" s="106" t="s">
        <v>560</v>
      </c>
      <c r="F8" s="76" t="s">
        <v>531</v>
      </c>
      <c r="G8" s="76" t="s">
        <v>532</v>
      </c>
      <c r="H8" s="76" t="s">
        <v>566</v>
      </c>
      <c r="I8" s="77" t="s">
        <v>533</v>
      </c>
      <c r="J8" s="77" t="s">
        <v>534</v>
      </c>
      <c r="K8" s="77" t="s">
        <v>535</v>
      </c>
      <c r="L8" s="77" t="s">
        <v>536</v>
      </c>
    </row>
    <row r="9" spans="2:14" ht="28.5" customHeight="1" x14ac:dyDescent="0.2">
      <c r="B9" s="75">
        <v>45444</v>
      </c>
      <c r="C9" s="78" t="s">
        <v>143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143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143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143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143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143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527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565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528</v>
      </c>
      <c r="G7" s="193"/>
      <c r="H7" s="194"/>
      <c r="I7" s="195" t="s">
        <v>529</v>
      </c>
      <c r="J7" s="196"/>
      <c r="K7" s="196"/>
      <c r="L7" s="197"/>
    </row>
    <row r="8" spans="2:14" ht="32" customHeight="1" x14ac:dyDescent="0.2">
      <c r="B8" s="105" t="s">
        <v>383</v>
      </c>
      <c r="C8" s="105" t="s">
        <v>530</v>
      </c>
      <c r="D8" s="105" t="s">
        <v>559</v>
      </c>
      <c r="E8" s="106" t="s">
        <v>560</v>
      </c>
      <c r="F8" s="76" t="s">
        <v>531</v>
      </c>
      <c r="G8" s="76" t="s">
        <v>532</v>
      </c>
      <c r="H8" s="76" t="s">
        <v>566</v>
      </c>
      <c r="I8" s="77" t="s">
        <v>533</v>
      </c>
      <c r="J8" s="77" t="s">
        <v>534</v>
      </c>
      <c r="K8" s="77" t="s">
        <v>535</v>
      </c>
      <c r="L8" s="77" t="s">
        <v>536</v>
      </c>
    </row>
    <row r="9" spans="2:14" ht="17" customHeight="1" x14ac:dyDescent="0.2">
      <c r="B9" s="75">
        <v>45444</v>
      </c>
      <c r="C9" s="78" t="s">
        <v>143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143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143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143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143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143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563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562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383</v>
      </c>
      <c r="C8" s="105" t="s">
        <v>530</v>
      </c>
      <c r="D8" s="105" t="s">
        <v>564</v>
      </c>
      <c r="E8" s="175"/>
    </row>
    <row r="9" spans="2:5" ht="28.5" customHeight="1" x14ac:dyDescent="0.2">
      <c r="B9" s="174">
        <v>45444</v>
      </c>
      <c r="C9" s="165" t="s">
        <v>143</v>
      </c>
      <c r="D9" s="165">
        <v>1100</v>
      </c>
    </row>
    <row r="10" spans="2:5" ht="28.5" customHeight="1" x14ac:dyDescent="0.2">
      <c r="B10" s="174">
        <v>45536</v>
      </c>
      <c r="C10" s="165" t="s">
        <v>143</v>
      </c>
      <c r="D10" s="165">
        <v>1150</v>
      </c>
    </row>
    <row r="11" spans="2:5" ht="28.5" customHeight="1" x14ac:dyDescent="0.2">
      <c r="B11" s="174">
        <v>45627</v>
      </c>
      <c r="C11" s="165" t="s">
        <v>143</v>
      </c>
      <c r="D11" s="165">
        <v>1240</v>
      </c>
    </row>
    <row r="12" spans="2:5" ht="15.5" customHeight="1" x14ac:dyDescent="0.2">
      <c r="B12" s="174">
        <v>45717</v>
      </c>
      <c r="C12" s="165" t="s">
        <v>143</v>
      </c>
      <c r="D12" s="165">
        <v>1070</v>
      </c>
    </row>
    <row r="13" spans="2:5" x14ac:dyDescent="0.2">
      <c r="B13" s="174">
        <v>45809</v>
      </c>
      <c r="C13" s="165" t="s">
        <v>143</v>
      </c>
      <c r="D13" s="165">
        <v>1060</v>
      </c>
    </row>
    <row r="14" spans="2:5" x14ac:dyDescent="0.2">
      <c r="B14" s="174">
        <v>45901</v>
      </c>
      <c r="C14" s="165" t="s">
        <v>143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K261"/>
  <sheetViews>
    <sheetView zoomScale="87" zoomScaleNormal="100" workbookViewId="0">
      <selection activeCell="AD29" sqref="AD29"/>
    </sheetView>
  </sheetViews>
  <sheetFormatPr baseColWidth="10" defaultColWidth="8.7109375" defaultRowHeight="16" x14ac:dyDescent="0.2"/>
  <cols>
    <col min="2" max="2" width="11" customWidth="1"/>
    <col min="3" max="11" width="8.85546875" bestFit="1" customWidth="1"/>
  </cols>
  <sheetData>
    <row r="1" spans="2:11" s="1" customFormat="1" x14ac:dyDescent="0.2"/>
    <row r="2" spans="2:11" s="1" customFormat="1" x14ac:dyDescent="0.2">
      <c r="B2" s="1" t="s">
        <v>1</v>
      </c>
      <c r="C2" s="1" t="s">
        <v>537</v>
      </c>
    </row>
    <row r="3" spans="2:11" s="1" customFormat="1" x14ac:dyDescent="0.2">
      <c r="B3" s="1" t="s">
        <v>85</v>
      </c>
      <c r="C3" s="7" t="s">
        <v>138</v>
      </c>
    </row>
    <row r="4" spans="2:11" s="1" customFormat="1" x14ac:dyDescent="0.2">
      <c r="B4" s="1" t="s">
        <v>87</v>
      </c>
      <c r="C4" s="1" t="s">
        <v>538</v>
      </c>
    </row>
    <row r="5" spans="2:11" s="1" customFormat="1" x14ac:dyDescent="0.2">
      <c r="B5" s="1" t="s">
        <v>89</v>
      </c>
    </row>
    <row r="7" spans="2:11" x14ac:dyDescent="0.2">
      <c r="B7" s="39"/>
      <c r="C7" s="40"/>
      <c r="D7" s="198" t="s">
        <v>539</v>
      </c>
      <c r="E7" s="199"/>
      <c r="F7" s="199"/>
      <c r="G7" s="200"/>
      <c r="H7" s="198" t="s">
        <v>540</v>
      </c>
      <c r="I7" s="199"/>
      <c r="J7" s="199"/>
      <c r="K7" s="200"/>
    </row>
    <row r="8" spans="2:11" x14ac:dyDescent="0.2">
      <c r="B8" s="41" t="s">
        <v>383</v>
      </c>
      <c r="C8" s="42" t="s">
        <v>541</v>
      </c>
      <c r="D8" s="41" t="s">
        <v>542</v>
      </c>
      <c r="E8" s="43" t="s">
        <v>543</v>
      </c>
      <c r="F8" s="43" t="s">
        <v>544</v>
      </c>
      <c r="G8" s="42" t="s">
        <v>545</v>
      </c>
      <c r="H8" s="41" t="s">
        <v>546</v>
      </c>
      <c r="I8" s="43" t="s">
        <v>547</v>
      </c>
      <c r="J8" s="43" t="s">
        <v>548</v>
      </c>
      <c r="K8" s="43" t="s">
        <v>549</v>
      </c>
    </row>
    <row r="9" spans="2:11" x14ac:dyDescent="0.2">
      <c r="B9" s="32">
        <v>43158</v>
      </c>
      <c r="C9" s="33">
        <f>WEEKDAY(B9,2)</f>
        <v>2</v>
      </c>
      <c r="D9" s="34"/>
      <c r="E9" s="1"/>
      <c r="F9" s="1"/>
      <c r="G9" s="33"/>
      <c r="H9" s="34"/>
      <c r="I9" s="1"/>
      <c r="J9" s="1"/>
      <c r="K9" s="1">
        <v>48002</v>
      </c>
    </row>
    <row r="10" spans="2:11" x14ac:dyDescent="0.2">
      <c r="B10" s="32">
        <v>43202</v>
      </c>
      <c r="C10" s="33">
        <f>WEEKDAY(B10,2)</f>
        <v>4</v>
      </c>
      <c r="D10" s="34"/>
      <c r="E10" s="1"/>
      <c r="F10" s="1"/>
      <c r="G10" s="33"/>
      <c r="H10" s="34"/>
      <c r="I10" s="1"/>
      <c r="J10" s="1"/>
      <c r="K10" s="1">
        <v>50412</v>
      </c>
    </row>
    <row r="11" spans="2:11" x14ac:dyDescent="0.2">
      <c r="B11" s="32">
        <v>43452</v>
      </c>
      <c r="C11" s="33">
        <f>WEEKDAY(B11,2)</f>
        <v>2</v>
      </c>
      <c r="D11" s="34"/>
      <c r="E11" s="1"/>
      <c r="F11" s="1"/>
      <c r="G11" s="33"/>
      <c r="H11" s="34"/>
      <c r="I11" s="1"/>
      <c r="J11" s="1"/>
      <c r="K11" s="1">
        <v>49586</v>
      </c>
    </row>
    <row r="12" spans="2:11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  <c r="H12" s="34"/>
      <c r="I12" s="1"/>
      <c r="J12" s="1"/>
      <c r="K12" s="1"/>
    </row>
    <row r="13" spans="2:11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  <c r="H13" s="34">
        <v>242</v>
      </c>
      <c r="I13" s="1">
        <v>2088</v>
      </c>
      <c r="J13" s="1">
        <v>5028</v>
      </c>
      <c r="K13" s="1">
        <v>35113</v>
      </c>
    </row>
    <row r="14" spans="2:11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  <c r="H14" s="34">
        <v>189</v>
      </c>
      <c r="I14" s="1"/>
      <c r="J14" s="1"/>
      <c r="K14" s="1"/>
    </row>
    <row r="15" spans="2:11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  <c r="H15" s="34">
        <v>230</v>
      </c>
      <c r="I15" s="1"/>
      <c r="J15" s="1"/>
      <c r="K15" s="1"/>
    </row>
    <row r="16" spans="2:11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  <c r="H16" s="34">
        <v>218</v>
      </c>
      <c r="I16" s="1"/>
      <c r="J16" s="1"/>
      <c r="K16" s="1"/>
    </row>
    <row r="17" spans="2:11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  <c r="H17" s="34">
        <v>45</v>
      </c>
      <c r="I17" s="1"/>
      <c r="J17" s="1"/>
      <c r="K17" s="1"/>
    </row>
    <row r="18" spans="2:11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  <c r="H18" s="34">
        <v>15</v>
      </c>
      <c r="I18" s="1"/>
      <c r="J18" s="1"/>
      <c r="K18" s="1"/>
    </row>
    <row r="19" spans="2:11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  <c r="H19" s="34">
        <v>132</v>
      </c>
      <c r="I19" s="1"/>
      <c r="J19" s="1"/>
      <c r="K19" s="1">
        <v>34438</v>
      </c>
    </row>
    <row r="20" spans="2:11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  <c r="H20" s="34">
        <v>143</v>
      </c>
      <c r="I20" s="1"/>
      <c r="J20" s="1"/>
      <c r="K20" s="1"/>
    </row>
    <row r="21" spans="2:11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  <c r="H21" s="34">
        <v>134</v>
      </c>
      <c r="I21" s="1"/>
      <c r="J21" s="1"/>
      <c r="K21" s="1"/>
    </row>
    <row r="22" spans="2:11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  <c r="H22" s="34">
        <v>113</v>
      </c>
      <c r="I22" s="1"/>
      <c r="J22" s="1"/>
      <c r="K22" s="1">
        <v>34218</v>
      </c>
    </row>
    <row r="23" spans="2:11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  <c r="H23" s="34">
        <v>116</v>
      </c>
      <c r="I23" s="1"/>
      <c r="J23" s="1"/>
      <c r="K23" s="1">
        <v>34109</v>
      </c>
    </row>
    <row r="24" spans="2:11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  <c r="H24" s="34">
        <v>155</v>
      </c>
      <c r="I24" s="1"/>
      <c r="J24" s="1"/>
      <c r="K24" s="1">
        <v>34090</v>
      </c>
    </row>
    <row r="25" spans="2:11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  <c r="H25" s="34">
        <v>17</v>
      </c>
      <c r="I25" s="1"/>
      <c r="J25" s="1"/>
      <c r="K25" s="1">
        <v>34160</v>
      </c>
    </row>
    <row r="26" spans="2:11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  <c r="H26" s="34">
        <v>45</v>
      </c>
      <c r="I26" s="1">
        <v>674</v>
      </c>
      <c r="J26" s="1">
        <v>1585</v>
      </c>
      <c r="K26" s="1">
        <v>34107</v>
      </c>
    </row>
    <row r="27" spans="2:11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  <c r="H27" s="34">
        <v>158</v>
      </c>
      <c r="I27" s="1">
        <v>697</v>
      </c>
      <c r="J27" s="1">
        <v>1501</v>
      </c>
      <c r="K27" s="1">
        <v>34064</v>
      </c>
    </row>
    <row r="28" spans="2:11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  <c r="H28" s="34">
        <v>111</v>
      </c>
      <c r="I28" s="1">
        <v>653</v>
      </c>
      <c r="J28" s="1">
        <v>1421</v>
      </c>
      <c r="K28" s="1">
        <v>33965</v>
      </c>
    </row>
    <row r="29" spans="2:11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  <c r="H29" s="34">
        <v>127</v>
      </c>
      <c r="I29" s="1">
        <v>670</v>
      </c>
      <c r="J29" s="1">
        <v>1417</v>
      </c>
      <c r="K29" s="1">
        <v>33985</v>
      </c>
    </row>
    <row r="30" spans="2:11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  <c r="H30" s="34">
        <v>20</v>
      </c>
      <c r="I30" s="1">
        <v>440</v>
      </c>
      <c r="J30" s="1">
        <v>1102</v>
      </c>
      <c r="K30" s="1">
        <v>33862</v>
      </c>
    </row>
    <row r="31" spans="2:11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  <c r="H31" s="34">
        <v>29</v>
      </c>
      <c r="I31" s="1">
        <v>439</v>
      </c>
      <c r="J31" s="1">
        <v>1095</v>
      </c>
      <c r="K31" s="1">
        <v>33852</v>
      </c>
    </row>
    <row r="32" spans="2:11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  <c r="H32" s="34">
        <v>121</v>
      </c>
      <c r="I32" s="1">
        <v>444</v>
      </c>
      <c r="J32" s="1">
        <v>1082</v>
      </c>
      <c r="K32" s="1">
        <v>33750</v>
      </c>
    </row>
    <row r="33" spans="2:11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  <c r="H33" s="34">
        <v>103</v>
      </c>
      <c r="I33" s="1">
        <v>418</v>
      </c>
      <c r="J33" s="1">
        <v>1062</v>
      </c>
      <c r="K33" s="1">
        <v>33736</v>
      </c>
    </row>
    <row r="34" spans="2:11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  <c r="H34" s="34">
        <v>144</v>
      </c>
      <c r="I34" s="1">
        <v>440</v>
      </c>
      <c r="J34" s="1">
        <v>1083</v>
      </c>
      <c r="K34" s="1">
        <v>33836</v>
      </c>
    </row>
    <row r="35" spans="2:11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  <c r="H35" s="34">
        <v>33</v>
      </c>
      <c r="I35" s="1">
        <v>488</v>
      </c>
      <c r="J35" s="1">
        <v>1037</v>
      </c>
      <c r="K35" s="1">
        <v>33726</v>
      </c>
    </row>
    <row r="36" spans="2:11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  <c r="H36" s="34">
        <v>32</v>
      </c>
      <c r="I36" s="1">
        <v>489</v>
      </c>
      <c r="J36" s="1">
        <v>1035</v>
      </c>
      <c r="K36" s="1">
        <v>33725</v>
      </c>
    </row>
    <row r="37" spans="2:11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  <c r="H37" s="34">
        <v>22</v>
      </c>
      <c r="I37" s="1">
        <v>506</v>
      </c>
      <c r="J37" s="1">
        <v>1026</v>
      </c>
      <c r="K37" s="1">
        <v>33601</v>
      </c>
    </row>
    <row r="38" spans="2:11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  <c r="H38" s="34">
        <v>85</v>
      </c>
      <c r="I38" s="1">
        <v>562</v>
      </c>
      <c r="J38" s="1">
        <v>952</v>
      </c>
      <c r="K38" s="1">
        <v>33662</v>
      </c>
    </row>
    <row r="39" spans="2:11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  <c r="H39" s="34">
        <v>128</v>
      </c>
      <c r="I39" s="1">
        <v>568</v>
      </c>
      <c r="J39" s="1">
        <v>975</v>
      </c>
      <c r="K39" s="1">
        <v>33707</v>
      </c>
    </row>
    <row r="40" spans="2:11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  <c r="H40" s="34">
        <v>95</v>
      </c>
      <c r="I40" s="1">
        <v>565</v>
      </c>
      <c r="J40" s="1">
        <v>952</v>
      </c>
      <c r="K40" s="1">
        <v>33716</v>
      </c>
    </row>
    <row r="41" spans="2:11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  <c r="H41" s="34">
        <v>156</v>
      </c>
      <c r="I41" s="1">
        <v>572</v>
      </c>
      <c r="J41" s="1">
        <v>980</v>
      </c>
      <c r="K41" s="1">
        <v>33662</v>
      </c>
    </row>
    <row r="42" spans="2:11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  <c r="H42" s="34">
        <v>51</v>
      </c>
      <c r="I42" s="1">
        <v>638</v>
      </c>
      <c r="J42" s="1">
        <v>1106</v>
      </c>
      <c r="K42" s="1">
        <v>33780</v>
      </c>
    </row>
    <row r="43" spans="2:11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  <c r="H43" s="34">
        <v>100</v>
      </c>
      <c r="I43" s="1">
        <v>648</v>
      </c>
      <c r="J43" s="1">
        <v>1171</v>
      </c>
      <c r="K43" s="1">
        <v>33651</v>
      </c>
    </row>
    <row r="44" spans="2:11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  <c r="H44" s="34">
        <v>112</v>
      </c>
      <c r="I44" s="1">
        <v>640</v>
      </c>
      <c r="J44" s="1">
        <v>1158</v>
      </c>
      <c r="K44" s="1">
        <v>33712</v>
      </c>
    </row>
    <row r="45" spans="2:11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  <c r="H45" s="34">
        <v>112</v>
      </c>
      <c r="I45" s="1">
        <v>653</v>
      </c>
      <c r="J45" s="1">
        <v>1175</v>
      </c>
      <c r="K45" s="1">
        <v>33535</v>
      </c>
    </row>
    <row r="46" spans="2:11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  <c r="H46" s="34">
        <v>106</v>
      </c>
      <c r="I46" s="1">
        <v>544</v>
      </c>
      <c r="J46" s="1">
        <v>1057</v>
      </c>
      <c r="K46" s="1">
        <v>31745</v>
      </c>
    </row>
    <row r="47" spans="2:11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  <c r="H47" s="34">
        <v>31</v>
      </c>
      <c r="I47" s="1">
        <v>563</v>
      </c>
      <c r="J47" s="1">
        <v>1140</v>
      </c>
      <c r="K47" s="1">
        <v>33213</v>
      </c>
    </row>
    <row r="48" spans="2:11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  <c r="H48" s="34">
        <v>125</v>
      </c>
      <c r="I48" s="1">
        <v>583</v>
      </c>
      <c r="J48" s="1">
        <v>1166</v>
      </c>
      <c r="K48" s="1">
        <v>33188</v>
      </c>
    </row>
    <row r="49" spans="2:11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  <c r="H49" s="34">
        <v>117</v>
      </c>
      <c r="I49" s="1">
        <v>589</v>
      </c>
      <c r="J49" s="1">
        <v>1154</v>
      </c>
      <c r="K49" s="1">
        <v>33173</v>
      </c>
    </row>
    <row r="50" spans="2:11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  <c r="H50" s="34">
        <v>118</v>
      </c>
      <c r="I50" s="1">
        <v>591</v>
      </c>
      <c r="J50" s="1">
        <v>1167</v>
      </c>
      <c r="K50" s="1">
        <v>33176</v>
      </c>
    </row>
    <row r="51" spans="2:11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  <c r="H51" s="34">
        <v>51</v>
      </c>
      <c r="I51" s="1">
        <v>614</v>
      </c>
      <c r="J51" s="1">
        <v>1143</v>
      </c>
      <c r="K51" s="1">
        <v>33297</v>
      </c>
    </row>
    <row r="52" spans="2:11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  <c r="H52" s="34">
        <v>174</v>
      </c>
      <c r="I52" s="1">
        <v>654</v>
      </c>
      <c r="J52" s="1">
        <v>1202</v>
      </c>
      <c r="K52" s="1">
        <v>33336</v>
      </c>
    </row>
    <row r="53" spans="2:11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  <c r="H53" s="34">
        <v>218</v>
      </c>
      <c r="I53" s="1">
        <v>750</v>
      </c>
      <c r="J53" s="1">
        <v>1312</v>
      </c>
      <c r="K53" s="1">
        <v>33313</v>
      </c>
    </row>
    <row r="54" spans="2:11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  <c r="H54" s="34">
        <v>353</v>
      </c>
      <c r="I54" s="1">
        <v>983</v>
      </c>
      <c r="J54" s="1">
        <v>1551</v>
      </c>
      <c r="K54" s="1">
        <v>33480</v>
      </c>
    </row>
    <row r="55" spans="2:11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  <c r="H55" s="34">
        <v>325</v>
      </c>
      <c r="I55" s="1">
        <v>1180</v>
      </c>
      <c r="J55" s="1">
        <v>1786</v>
      </c>
      <c r="K55" s="1">
        <v>33599</v>
      </c>
    </row>
    <row r="56" spans="2:11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  <c r="H56" s="34">
        <v>138</v>
      </c>
      <c r="I56" s="1">
        <v>1514</v>
      </c>
      <c r="J56" s="1">
        <v>2079</v>
      </c>
      <c r="K56" s="1">
        <v>33825</v>
      </c>
    </row>
    <row r="57" spans="2:11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  <c r="H57" s="34">
        <v>443</v>
      </c>
      <c r="I57" s="1">
        <v>1781</v>
      </c>
      <c r="J57" s="1">
        <v>2402</v>
      </c>
      <c r="K57" s="1">
        <v>34018</v>
      </c>
    </row>
    <row r="58" spans="2:11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  <c r="H58" s="34">
        <v>472</v>
      </c>
      <c r="I58" s="1">
        <v>2016</v>
      </c>
      <c r="J58" s="1">
        <v>2728</v>
      </c>
      <c r="K58" s="1">
        <v>32127</v>
      </c>
    </row>
    <row r="59" spans="2:11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  <c r="H59" s="34">
        <v>439</v>
      </c>
      <c r="I59" s="1">
        <v>2099</v>
      </c>
      <c r="J59" s="1">
        <v>3027</v>
      </c>
      <c r="K59" s="1">
        <v>34310</v>
      </c>
    </row>
    <row r="60" spans="2:11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  <c r="H60" s="34">
        <v>456</v>
      </c>
      <c r="I60" s="1">
        <v>2231</v>
      </c>
      <c r="J60" s="1">
        <v>3326</v>
      </c>
      <c r="K60" s="1">
        <v>34499</v>
      </c>
    </row>
    <row r="61" spans="2:11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  <c r="H61" s="34">
        <v>144</v>
      </c>
      <c r="I61" s="1">
        <v>2111</v>
      </c>
      <c r="J61" s="1">
        <v>3768</v>
      </c>
      <c r="K61" s="1">
        <v>34812</v>
      </c>
    </row>
    <row r="62" spans="2:11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  <c r="H62" s="34">
        <v>562</v>
      </c>
      <c r="I62" s="1">
        <v>2222</v>
      </c>
      <c r="J62" s="1">
        <v>4091</v>
      </c>
      <c r="K62" s="1">
        <v>35037</v>
      </c>
    </row>
    <row r="63" spans="2:11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  <c r="H63" s="34">
        <v>550</v>
      </c>
      <c r="I63" s="1">
        <v>2334</v>
      </c>
      <c r="J63" s="1">
        <v>4263</v>
      </c>
      <c r="K63" s="1">
        <v>35070</v>
      </c>
    </row>
    <row r="64" spans="2:11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  <c r="H64" s="34">
        <v>605</v>
      </c>
      <c r="I64" s="1">
        <v>2470</v>
      </c>
      <c r="J64" s="1">
        <v>4534</v>
      </c>
      <c r="K64" s="1">
        <v>35254</v>
      </c>
    </row>
    <row r="65" spans="2:11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  <c r="H65" s="34">
        <v>219</v>
      </c>
      <c r="I65" s="1">
        <v>2686</v>
      </c>
      <c r="J65" s="1">
        <v>4876</v>
      </c>
      <c r="K65" s="1">
        <v>35465</v>
      </c>
    </row>
    <row r="66" spans="2:11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  <c r="H66" s="34">
        <v>619</v>
      </c>
      <c r="I66" s="1">
        <v>3114</v>
      </c>
      <c r="J66" s="1">
        <v>5031</v>
      </c>
      <c r="K66" s="1">
        <v>35692</v>
      </c>
    </row>
    <row r="67" spans="2:11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  <c r="H67" s="34">
        <v>739</v>
      </c>
      <c r="I67" s="1">
        <v>3264</v>
      </c>
      <c r="J67" s="1">
        <v>5249</v>
      </c>
      <c r="K67" s="1">
        <v>35858</v>
      </c>
    </row>
    <row r="68" spans="2:11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  <c r="H68" s="34">
        <v>726</v>
      </c>
      <c r="I68" s="1">
        <v>3591</v>
      </c>
      <c r="J68" s="1">
        <v>5777</v>
      </c>
      <c r="K68" s="1">
        <v>36131</v>
      </c>
    </row>
    <row r="69" spans="2:11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  <c r="H69" s="34">
        <v>250</v>
      </c>
      <c r="I69" s="1">
        <v>3750</v>
      </c>
      <c r="J69" s="1">
        <v>6141</v>
      </c>
      <c r="K69" s="1">
        <v>36656</v>
      </c>
    </row>
    <row r="70" spans="2:11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  <c r="H70" s="34">
        <v>759</v>
      </c>
      <c r="I70" s="1">
        <v>3862</v>
      </c>
      <c r="J70" s="1">
        <v>6628</v>
      </c>
      <c r="K70" s="1">
        <v>36731</v>
      </c>
    </row>
    <row r="71" spans="2:11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  <c r="H71" s="34">
        <v>773</v>
      </c>
      <c r="I71" s="1">
        <v>3923</v>
      </c>
      <c r="J71" s="1">
        <v>6799</v>
      </c>
      <c r="K71" s="1">
        <v>36806</v>
      </c>
    </row>
    <row r="72" spans="2:11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  <c r="H72" s="34">
        <v>783</v>
      </c>
      <c r="I72" s="1">
        <v>3979</v>
      </c>
      <c r="J72" s="1">
        <v>7042</v>
      </c>
      <c r="K72" s="1">
        <v>37013</v>
      </c>
    </row>
    <row r="73" spans="2:11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  <c r="H73" s="34">
        <v>756</v>
      </c>
      <c r="I73" s="1">
        <v>4008</v>
      </c>
      <c r="J73" s="1">
        <v>7161</v>
      </c>
      <c r="K73" s="1">
        <v>37217</v>
      </c>
    </row>
    <row r="74" spans="2:11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  <c r="H74" s="34">
        <v>295</v>
      </c>
      <c r="I74" s="1">
        <v>4146</v>
      </c>
      <c r="J74" s="1">
        <v>7468</v>
      </c>
      <c r="K74" s="1">
        <v>37568</v>
      </c>
    </row>
    <row r="75" spans="2:11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  <c r="H75" s="34">
        <v>889</v>
      </c>
      <c r="I75" s="1">
        <v>4263</v>
      </c>
      <c r="J75" s="1">
        <v>7678</v>
      </c>
      <c r="K75" s="1">
        <v>37608</v>
      </c>
    </row>
    <row r="76" spans="2:11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  <c r="H76" s="34">
        <v>915</v>
      </c>
      <c r="I76" s="1">
        <v>4394</v>
      </c>
      <c r="J76" s="1">
        <v>7833</v>
      </c>
      <c r="K76" s="1">
        <v>37789</v>
      </c>
    </row>
    <row r="77" spans="2:11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  <c r="H77" s="34">
        <v>864</v>
      </c>
      <c r="I77" s="1">
        <v>4492</v>
      </c>
      <c r="J77" s="1">
        <v>8030</v>
      </c>
      <c r="K77" s="1">
        <v>39933</v>
      </c>
    </row>
    <row r="78" spans="2:11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  <c r="H78" s="34">
        <v>783</v>
      </c>
      <c r="I78" s="1">
        <v>4510</v>
      </c>
      <c r="J78" s="1">
        <v>8114</v>
      </c>
      <c r="K78" s="1">
        <v>38065</v>
      </c>
    </row>
    <row r="79" spans="2:11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  <c r="H79" s="34">
        <v>337</v>
      </c>
      <c r="I79" s="1">
        <v>4495</v>
      </c>
      <c r="J79" s="1">
        <v>8177</v>
      </c>
      <c r="K79" s="1">
        <v>38081</v>
      </c>
    </row>
    <row r="80" spans="2:11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  <c r="H80" s="34">
        <v>897</v>
      </c>
      <c r="I80" s="1">
        <v>4506</v>
      </c>
      <c r="J80" s="1">
        <v>8313</v>
      </c>
      <c r="K80" s="1">
        <v>38309</v>
      </c>
    </row>
    <row r="81" spans="2:11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  <c r="H81" s="34">
        <v>915</v>
      </c>
      <c r="I81" s="1">
        <v>4491</v>
      </c>
      <c r="J81" s="1">
        <v>8412</v>
      </c>
      <c r="K81" s="1">
        <v>38422</v>
      </c>
    </row>
    <row r="82" spans="2:11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  <c r="H82" s="34">
        <v>784</v>
      </c>
      <c r="I82" s="1">
        <v>4446</v>
      </c>
      <c r="J82" s="1">
        <v>8395</v>
      </c>
      <c r="K82" s="1">
        <v>38556</v>
      </c>
    </row>
    <row r="83" spans="2:11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  <c r="H83" s="34">
        <v>303</v>
      </c>
      <c r="I83" s="1">
        <v>4614</v>
      </c>
      <c r="J83" s="1">
        <v>8679</v>
      </c>
      <c r="K83" s="1">
        <v>39208</v>
      </c>
    </row>
    <row r="84" spans="2:11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  <c r="H84" s="34">
        <v>934</v>
      </c>
      <c r="I84" s="1">
        <v>4640</v>
      </c>
      <c r="J84" s="1">
        <v>8656</v>
      </c>
      <c r="K84" s="1">
        <v>39239</v>
      </c>
    </row>
    <row r="85" spans="2:11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  <c r="H85" s="34">
        <v>948</v>
      </c>
      <c r="I85" s="1">
        <v>4679</v>
      </c>
      <c r="J85" s="1">
        <v>8680</v>
      </c>
      <c r="K85" s="1">
        <v>39340</v>
      </c>
    </row>
    <row r="86" spans="2:11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  <c r="H86" s="34">
        <v>937</v>
      </c>
      <c r="I86" s="1">
        <v>4803</v>
      </c>
      <c r="J86" s="1">
        <v>8753</v>
      </c>
      <c r="K86" s="1">
        <v>39579</v>
      </c>
    </row>
    <row r="87" spans="2:11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  <c r="H87" s="34">
        <v>985</v>
      </c>
      <c r="I87" s="1">
        <v>4952</v>
      </c>
      <c r="J87" s="1">
        <v>8928</v>
      </c>
      <c r="K87" s="1">
        <v>39802</v>
      </c>
    </row>
    <row r="88" spans="2:11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  <c r="H88" s="34">
        <v>382</v>
      </c>
      <c r="I88" s="1">
        <v>4969</v>
      </c>
      <c r="J88" s="1">
        <v>9096</v>
      </c>
      <c r="K88" s="1">
        <v>40172</v>
      </c>
    </row>
    <row r="89" spans="2:11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  <c r="H89" s="34">
        <v>946</v>
      </c>
      <c r="I89" s="1">
        <v>4982</v>
      </c>
      <c r="J89" s="1">
        <v>9114</v>
      </c>
      <c r="K89" s="1">
        <v>40361</v>
      </c>
    </row>
    <row r="90" spans="2:11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  <c r="H90" s="34">
        <v>909</v>
      </c>
      <c r="I90" s="1">
        <v>4930</v>
      </c>
      <c r="J90" s="1">
        <v>9134</v>
      </c>
      <c r="K90" s="1">
        <v>40453</v>
      </c>
    </row>
    <row r="91" spans="2:11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  <c r="H91" s="34">
        <v>1011</v>
      </c>
      <c r="I91" s="1">
        <v>5009</v>
      </c>
      <c r="J91" s="1">
        <v>9337</v>
      </c>
      <c r="K91" s="1">
        <v>40643</v>
      </c>
    </row>
    <row r="92" spans="2:11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  <c r="H92" s="34">
        <v>386</v>
      </c>
      <c r="I92" s="1">
        <v>5124</v>
      </c>
      <c r="J92" s="1">
        <v>9644</v>
      </c>
      <c r="K92" s="1">
        <v>41330</v>
      </c>
    </row>
    <row r="93" spans="2:11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  <c r="H93" s="34">
        <v>1018</v>
      </c>
      <c r="I93" s="1">
        <v>5163</v>
      </c>
      <c r="J93" s="1">
        <v>9630</v>
      </c>
      <c r="K93" s="1">
        <v>41359</v>
      </c>
    </row>
    <row r="94" spans="2:11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  <c r="H94" s="34">
        <v>948</v>
      </c>
      <c r="I94" s="1">
        <v>5192</v>
      </c>
      <c r="J94" s="1">
        <v>9609</v>
      </c>
      <c r="K94" s="1">
        <v>41138</v>
      </c>
    </row>
    <row r="95" spans="2:11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  <c r="H95" s="34">
        <v>993</v>
      </c>
      <c r="I95" s="1">
        <v>5173</v>
      </c>
      <c r="J95" s="1">
        <v>9655</v>
      </c>
      <c r="K95" s="1">
        <v>41309</v>
      </c>
    </row>
    <row r="96" spans="2:11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  <c r="H96" s="34">
        <v>915</v>
      </c>
      <c r="I96" s="1">
        <v>5090</v>
      </c>
      <c r="J96" s="1">
        <v>9635</v>
      </c>
      <c r="K96" s="1">
        <v>41464</v>
      </c>
    </row>
    <row r="97" spans="2:11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  <c r="H97" s="34">
        <v>427</v>
      </c>
      <c r="I97" s="1">
        <v>5095</v>
      </c>
      <c r="J97" s="1">
        <v>9727</v>
      </c>
      <c r="K97" s="1">
        <v>41836</v>
      </c>
    </row>
    <row r="98" spans="2:11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  <c r="H98" s="34">
        <v>1060</v>
      </c>
      <c r="I98" s="1">
        <v>5127</v>
      </c>
      <c r="J98" s="1">
        <v>9763</v>
      </c>
      <c r="K98" s="1">
        <v>41958</v>
      </c>
    </row>
    <row r="99" spans="2:11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  <c r="H99" s="34">
        <v>1008</v>
      </c>
      <c r="I99" s="1">
        <v>5185</v>
      </c>
      <c r="J99" s="1">
        <v>9824</v>
      </c>
      <c r="K99" s="1">
        <v>42086</v>
      </c>
    </row>
    <row r="100" spans="2:11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  <c r="H100" s="34">
        <v>967</v>
      </c>
      <c r="I100" s="1">
        <v>5919</v>
      </c>
      <c r="J100" s="1">
        <v>9762</v>
      </c>
      <c r="K100" s="1">
        <v>42143</v>
      </c>
    </row>
    <row r="101" spans="2:11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  <c r="H101" s="34">
        <v>992</v>
      </c>
      <c r="I101" s="1">
        <v>5215</v>
      </c>
      <c r="J101" s="1">
        <v>9751</v>
      </c>
      <c r="K101" s="1">
        <v>42470</v>
      </c>
    </row>
    <row r="102" spans="2:11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  <c r="H102" s="34">
        <v>332</v>
      </c>
      <c r="I102" s="1">
        <v>5284</v>
      </c>
      <c r="J102" s="1">
        <v>9820</v>
      </c>
      <c r="K102" s="1">
        <v>42858</v>
      </c>
    </row>
    <row r="103" spans="2:11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  <c r="H103" s="34">
        <v>1095</v>
      </c>
      <c r="I103" s="1">
        <v>5294</v>
      </c>
      <c r="J103" s="1">
        <v>9869</v>
      </c>
      <c r="K103" s="1">
        <v>42933</v>
      </c>
    </row>
    <row r="104" spans="2:11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  <c r="H104" s="34">
        <v>988</v>
      </c>
      <c r="I104" s="1">
        <v>5276</v>
      </c>
      <c r="J104" s="1">
        <v>9866</v>
      </c>
      <c r="K104" s="1">
        <v>43089</v>
      </c>
    </row>
    <row r="105" spans="2:11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  <c r="H105" s="34">
        <v>1035</v>
      </c>
      <c r="I105" s="1">
        <v>5363</v>
      </c>
      <c r="J105" s="1">
        <v>9905</v>
      </c>
      <c r="K105" s="1">
        <v>43233</v>
      </c>
    </row>
    <row r="106" spans="2:11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  <c r="H106" s="34">
        <v>959</v>
      </c>
      <c r="I106" s="1">
        <v>5367</v>
      </c>
      <c r="J106" s="1">
        <v>9996</v>
      </c>
      <c r="K106" s="1">
        <v>43488</v>
      </c>
    </row>
    <row r="107" spans="2:11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  <c r="H107" s="34">
        <v>343</v>
      </c>
      <c r="I107" s="1">
        <v>5377</v>
      </c>
      <c r="J107" s="1">
        <v>10103</v>
      </c>
      <c r="K107" s="1">
        <v>43928</v>
      </c>
    </row>
    <row r="108" spans="2:11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  <c r="H108" s="34">
        <v>1075</v>
      </c>
      <c r="I108" s="1">
        <v>5331</v>
      </c>
      <c r="J108" s="1">
        <v>10111</v>
      </c>
      <c r="K108" s="1">
        <v>43944</v>
      </c>
    </row>
    <row r="109" spans="2:11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  <c r="H109" s="34">
        <v>1103</v>
      </c>
      <c r="I109" s="1">
        <v>5437</v>
      </c>
      <c r="J109" s="1">
        <v>10198</v>
      </c>
      <c r="K109" s="1">
        <v>44071</v>
      </c>
    </row>
    <row r="110" spans="2:11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  <c r="H110" s="34">
        <v>1047</v>
      </c>
      <c r="I110" s="1">
        <v>5440</v>
      </c>
      <c r="J110" s="1">
        <v>10260</v>
      </c>
      <c r="K110" s="1">
        <v>44254</v>
      </c>
    </row>
    <row r="111" spans="2:11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  <c r="H111" s="34">
        <v>1024</v>
      </c>
      <c r="I111" s="1">
        <v>5510</v>
      </c>
      <c r="J111" s="1">
        <v>10303</v>
      </c>
      <c r="K111" s="1">
        <v>44520</v>
      </c>
    </row>
    <row r="112" spans="2:11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  <c r="H112" s="34">
        <v>866</v>
      </c>
      <c r="I112" s="1">
        <v>5512</v>
      </c>
      <c r="J112" s="1">
        <v>10298</v>
      </c>
      <c r="K112" s="1">
        <v>44913</v>
      </c>
    </row>
    <row r="113" spans="2:11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  <c r="H113" s="34">
        <v>1055</v>
      </c>
      <c r="I113" s="1">
        <v>5512</v>
      </c>
      <c r="J113" s="1">
        <v>10309</v>
      </c>
      <c r="K113" s="1">
        <v>44940</v>
      </c>
    </row>
    <row r="114" spans="2:11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  <c r="H114" s="34">
        <v>1053</v>
      </c>
      <c r="I114" s="1">
        <v>5451</v>
      </c>
      <c r="J114" s="1">
        <v>10369</v>
      </c>
      <c r="K114" s="1">
        <v>45112</v>
      </c>
    </row>
    <row r="115" spans="2:11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  <c r="H115" s="34">
        <v>982</v>
      </c>
      <c r="I115" s="1">
        <v>5413</v>
      </c>
      <c r="J115" s="1">
        <v>10348</v>
      </c>
      <c r="K115" s="1">
        <v>45294</v>
      </c>
    </row>
    <row r="116" spans="2:11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  <c r="H116" s="34">
        <v>1095</v>
      </c>
      <c r="I116" s="1">
        <v>5458</v>
      </c>
      <c r="J116" s="1">
        <v>10457</v>
      </c>
      <c r="K116" s="1">
        <v>45783</v>
      </c>
    </row>
    <row r="117" spans="2:11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  <c r="H117" s="34"/>
      <c r="I117" s="1"/>
      <c r="J117" s="1"/>
      <c r="K117" s="1"/>
    </row>
    <row r="118" spans="2:11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  <c r="H118" s="34">
        <v>1203</v>
      </c>
      <c r="I118" s="1">
        <v>5558</v>
      </c>
      <c r="J118" s="1">
        <v>10555</v>
      </c>
      <c r="K118" s="1">
        <v>46067</v>
      </c>
    </row>
    <row r="119" spans="2:11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  <c r="H119" s="34">
        <v>1225</v>
      </c>
      <c r="I119" s="1">
        <v>5741</v>
      </c>
      <c r="J119" s="1">
        <v>10704</v>
      </c>
      <c r="K119" s="1">
        <v>46383</v>
      </c>
    </row>
    <row r="120" spans="2:11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  <c r="H120" s="34">
        <v>1035</v>
      </c>
      <c r="I120" s="1">
        <v>5609</v>
      </c>
      <c r="J120" s="1">
        <v>10604</v>
      </c>
      <c r="K120" s="1">
        <v>46812</v>
      </c>
    </row>
    <row r="121" spans="2:11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  <c r="H121" s="34">
        <v>330</v>
      </c>
      <c r="I121" s="1">
        <v>5583</v>
      </c>
      <c r="J121" s="1">
        <v>10563</v>
      </c>
      <c r="K121" s="1">
        <v>47116</v>
      </c>
    </row>
    <row r="122" spans="2:11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  <c r="H122" s="34">
        <v>1063</v>
      </c>
      <c r="I122" s="1">
        <v>5484</v>
      </c>
      <c r="J122" s="1">
        <v>10541</v>
      </c>
      <c r="K122" s="1">
        <v>47071</v>
      </c>
    </row>
    <row r="123" spans="2:11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  <c r="H123" s="34">
        <v>1205</v>
      </c>
      <c r="I123" s="1">
        <v>6413</v>
      </c>
      <c r="J123" s="1">
        <v>10756</v>
      </c>
      <c r="K123" s="1">
        <v>49356</v>
      </c>
    </row>
    <row r="124" spans="2:11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  <c r="H124" s="34">
        <v>1276</v>
      </c>
      <c r="I124" s="1">
        <v>6644</v>
      </c>
      <c r="J124" s="1">
        <v>12714</v>
      </c>
      <c r="K124" s="1">
        <v>51635</v>
      </c>
    </row>
    <row r="125" spans="2:11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  <c r="H125" s="34">
        <v>1297</v>
      </c>
      <c r="I125" s="1">
        <v>6481</v>
      </c>
      <c r="J125" s="1">
        <v>12665</v>
      </c>
      <c r="K125" s="1">
        <v>53591</v>
      </c>
    </row>
    <row r="126" spans="2:11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  <c r="H126" s="1">
        <v>1329</v>
      </c>
      <c r="I126" s="1">
        <v>6263</v>
      </c>
      <c r="J126" s="1">
        <v>12070</v>
      </c>
      <c r="K126" s="1">
        <v>54374</v>
      </c>
    </row>
    <row r="127" spans="2:11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  <c r="H127" s="1">
        <v>939</v>
      </c>
      <c r="I127" s="1">
        <v>5101</v>
      </c>
      <c r="J127" s="1">
        <v>10411</v>
      </c>
      <c r="K127" s="1">
        <v>54264</v>
      </c>
    </row>
    <row r="128" spans="2:11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  <c r="H128" s="1">
        <v>895</v>
      </c>
      <c r="I128" s="1">
        <v>4638</v>
      </c>
      <c r="J128" s="1">
        <v>9140</v>
      </c>
      <c r="K128" s="1">
        <v>53448</v>
      </c>
    </row>
    <row r="129" spans="2:11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  <c r="H129" s="1">
        <v>887</v>
      </c>
      <c r="I129" s="1">
        <v>4193</v>
      </c>
      <c r="J129" s="1">
        <v>8311</v>
      </c>
      <c r="K129" s="1">
        <v>52327</v>
      </c>
    </row>
    <row r="130" spans="2:11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  <c r="H130" s="1">
        <v>446</v>
      </c>
      <c r="I130" s="1">
        <v>2884</v>
      </c>
      <c r="J130" s="1">
        <v>6305</v>
      </c>
      <c r="K130" s="1">
        <v>50175</v>
      </c>
    </row>
    <row r="131" spans="2:11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  <c r="H131" s="1">
        <v>789</v>
      </c>
      <c r="I131" s="1">
        <v>3666</v>
      </c>
      <c r="J131" s="1">
        <v>4997</v>
      </c>
      <c r="K131" s="1">
        <v>49130</v>
      </c>
    </row>
    <row r="132" spans="2:11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  <c r="H132" s="1">
        <v>844</v>
      </c>
      <c r="I132" s="1">
        <v>4083</v>
      </c>
      <c r="J132" s="1">
        <v>7739</v>
      </c>
      <c r="K132" s="1">
        <v>48240</v>
      </c>
    </row>
    <row r="133" spans="2:11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  <c r="H133" s="1">
        <v>741</v>
      </c>
      <c r="I133" s="1">
        <v>3798</v>
      </c>
      <c r="J133" s="1">
        <v>7381</v>
      </c>
      <c r="K133" s="1">
        <v>46734</v>
      </c>
    </row>
    <row r="134" spans="2:11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  <c r="H134" s="1">
        <v>1256</v>
      </c>
      <c r="I134" s="1">
        <v>4464</v>
      </c>
      <c r="J134" s="1">
        <v>7950</v>
      </c>
      <c r="K134" s="1">
        <v>46441</v>
      </c>
    </row>
    <row r="135" spans="2:11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  <c r="H135" s="1">
        <v>1062</v>
      </c>
      <c r="I135" s="1">
        <v>4943</v>
      </c>
      <c r="J135" s="1">
        <v>9362</v>
      </c>
      <c r="K135" s="1">
        <v>46954</v>
      </c>
    </row>
    <row r="136" spans="2:11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  <c r="H136" s="1">
        <v>80</v>
      </c>
      <c r="I136" s="1">
        <v>3871</v>
      </c>
      <c r="J136" s="1">
        <v>8622</v>
      </c>
      <c r="K136" s="1">
        <v>47534</v>
      </c>
    </row>
    <row r="137" spans="2:11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  <c r="H137" s="1">
        <v>991</v>
      </c>
      <c r="I137" s="1">
        <v>4848</v>
      </c>
      <c r="J137" s="1">
        <v>9408</v>
      </c>
      <c r="K137" s="1">
        <v>47388</v>
      </c>
    </row>
    <row r="138" spans="2:11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  <c r="H138" s="1">
        <v>362</v>
      </c>
      <c r="I138" s="1">
        <v>4138</v>
      </c>
      <c r="J138" s="1">
        <v>8697</v>
      </c>
      <c r="K138" s="1">
        <v>47309</v>
      </c>
    </row>
    <row r="139" spans="2:11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  <c r="H139" s="1">
        <v>1020</v>
      </c>
      <c r="I139" s="1">
        <v>4758</v>
      </c>
      <c r="J139" s="1">
        <v>9129</v>
      </c>
      <c r="K139" s="1">
        <v>46983</v>
      </c>
    </row>
    <row r="140" spans="2:11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  <c r="H140" s="1">
        <v>326</v>
      </c>
      <c r="I140" s="1">
        <v>3578</v>
      </c>
      <c r="J140" s="1">
        <v>7675</v>
      </c>
      <c r="K140" s="1">
        <v>46785</v>
      </c>
    </row>
    <row r="141" spans="2:11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  <c r="H141" s="1">
        <v>791</v>
      </c>
      <c r="I141" s="1">
        <v>4129</v>
      </c>
      <c r="J141" s="1">
        <v>8062</v>
      </c>
      <c r="K141" s="1">
        <v>46249</v>
      </c>
    </row>
    <row r="142" spans="2:11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  <c r="H142" s="1">
        <v>775</v>
      </c>
      <c r="I142" s="1">
        <v>3849</v>
      </c>
      <c r="J142" s="1">
        <v>7588</v>
      </c>
      <c r="K142" s="1">
        <v>45633</v>
      </c>
    </row>
    <row r="143" spans="2:11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  <c r="H143" s="1">
        <v>621</v>
      </c>
      <c r="I143" s="1">
        <v>3708</v>
      </c>
      <c r="J143" s="1">
        <v>7278</v>
      </c>
      <c r="K143" s="1">
        <v>44891</v>
      </c>
    </row>
    <row r="144" spans="2:11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  <c r="H144" s="1">
        <v>728</v>
      </c>
      <c r="I144" s="1">
        <v>3618</v>
      </c>
      <c r="J144" s="1">
        <v>7253</v>
      </c>
      <c r="K144" s="33">
        <v>44425</v>
      </c>
    </row>
    <row r="145" spans="2:11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  <c r="H145" s="1">
        <v>629</v>
      </c>
      <c r="I145" s="1">
        <v>3131</v>
      </c>
      <c r="J145" s="1">
        <v>6215</v>
      </c>
      <c r="K145" s="1">
        <v>43534</v>
      </c>
    </row>
    <row r="146" spans="2:11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  <c r="H146" s="1">
        <v>659</v>
      </c>
      <c r="I146" s="1">
        <v>3039</v>
      </c>
      <c r="J146" s="1">
        <v>5884</v>
      </c>
      <c r="K146" s="1">
        <v>42953</v>
      </c>
    </row>
    <row r="147" spans="2:11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  <c r="H147" s="1">
        <v>836</v>
      </c>
      <c r="I147" s="1">
        <v>3849</v>
      </c>
      <c r="J147" s="1">
        <v>6279</v>
      </c>
      <c r="K147" s="1">
        <v>43176</v>
      </c>
    </row>
    <row r="148" spans="2:11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  <c r="H148" s="1">
        <v>810</v>
      </c>
      <c r="I148" s="1">
        <v>3944</v>
      </c>
      <c r="J148" s="1">
        <v>7773</v>
      </c>
      <c r="K148" s="1">
        <v>43778</v>
      </c>
    </row>
    <row r="149" spans="2:11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  <c r="H149" s="1">
        <v>721</v>
      </c>
      <c r="I149" s="1">
        <v>3775</v>
      </c>
      <c r="J149" s="1">
        <v>7187</v>
      </c>
      <c r="K149" s="1">
        <v>43082</v>
      </c>
    </row>
    <row r="150" spans="2:11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  <c r="H150" s="1">
        <v>777</v>
      </c>
      <c r="I150" s="1">
        <v>3685</v>
      </c>
      <c r="J150" s="1">
        <v>7288</v>
      </c>
      <c r="K150" s="1">
        <v>42319</v>
      </c>
    </row>
    <row r="151" spans="2:11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  <c r="H151" s="1">
        <v>674</v>
      </c>
      <c r="I151" s="1">
        <v>3223</v>
      </c>
      <c r="J151" s="1">
        <v>6539</v>
      </c>
      <c r="K151" s="1">
        <v>41248</v>
      </c>
    </row>
    <row r="152" spans="2:11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  <c r="H152" s="1">
        <v>575</v>
      </c>
      <c r="I152" s="1">
        <v>3086</v>
      </c>
      <c r="J152" s="1">
        <v>5969</v>
      </c>
      <c r="K152" s="1">
        <v>39780</v>
      </c>
    </row>
    <row r="153" spans="2:11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  <c r="H153" s="1">
        <v>460</v>
      </c>
      <c r="I153" s="1">
        <v>2596</v>
      </c>
      <c r="J153" s="1">
        <v>5028</v>
      </c>
      <c r="K153" s="1">
        <v>38359</v>
      </c>
    </row>
    <row r="154" spans="2:11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  <c r="H154" s="1">
        <v>357</v>
      </c>
      <c r="I154" s="1">
        <v>1731</v>
      </c>
      <c r="J154" s="1">
        <v>3651</v>
      </c>
      <c r="K154" s="1">
        <v>36259</v>
      </c>
    </row>
    <row r="155" spans="2:11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  <c r="H155" s="1">
        <v>60</v>
      </c>
      <c r="I155" s="1">
        <v>2186</v>
      </c>
      <c r="J155" s="1">
        <v>3495</v>
      </c>
      <c r="K155" s="1">
        <v>35961</v>
      </c>
    </row>
    <row r="156" spans="2:11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  <c r="H156" s="1">
        <v>518</v>
      </c>
      <c r="I156" s="1">
        <v>2680</v>
      </c>
      <c r="J156" s="1">
        <v>3204</v>
      </c>
      <c r="K156" s="1">
        <v>35800</v>
      </c>
    </row>
    <row r="157" spans="2:11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  <c r="H157" s="1">
        <v>632</v>
      </c>
      <c r="I157" s="1">
        <v>3358</v>
      </c>
      <c r="J157" s="1">
        <v>6102</v>
      </c>
      <c r="K157" s="1">
        <v>35939</v>
      </c>
    </row>
    <row r="158" spans="2:11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  <c r="H158" s="1">
        <v>750</v>
      </c>
      <c r="I158" s="1">
        <v>3679</v>
      </c>
      <c r="J158" s="1">
        <v>6852</v>
      </c>
      <c r="K158" s="1">
        <v>35861</v>
      </c>
    </row>
    <row r="159" spans="2:11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  <c r="H159" s="1">
        <v>751</v>
      </c>
      <c r="I159" s="1">
        <v>3460</v>
      </c>
      <c r="J159" s="1">
        <v>6653</v>
      </c>
      <c r="K159" s="1">
        <v>35617</v>
      </c>
    </row>
    <row r="160" spans="2:11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  <c r="H160" s="1">
        <v>760</v>
      </c>
      <c r="I160" s="1">
        <v>3646</v>
      </c>
      <c r="J160" s="1">
        <v>6663</v>
      </c>
      <c r="K160" s="1">
        <v>35554</v>
      </c>
    </row>
    <row r="161" spans="2:11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  <c r="H161" s="1">
        <v>815</v>
      </c>
      <c r="I161" s="1">
        <v>3744</v>
      </c>
      <c r="J161" s="1">
        <v>7163</v>
      </c>
      <c r="K161" s="1">
        <v>36059</v>
      </c>
    </row>
    <row r="162" spans="2:11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  <c r="H162" s="1">
        <v>745</v>
      </c>
      <c r="I162" s="1">
        <v>3773</v>
      </c>
      <c r="J162" s="1">
        <v>7056</v>
      </c>
      <c r="K162" s="1">
        <v>36260</v>
      </c>
    </row>
    <row r="163" spans="2:11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  <c r="H163" s="1">
        <v>61</v>
      </c>
      <c r="I163" s="1">
        <v>2571</v>
      </c>
      <c r="J163" s="1">
        <v>5825</v>
      </c>
      <c r="K163" s="1">
        <v>36219</v>
      </c>
    </row>
    <row r="164" spans="2:11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  <c r="H164" s="1">
        <v>200</v>
      </c>
      <c r="I164" s="1">
        <v>3254</v>
      </c>
      <c r="J164" s="1">
        <v>6922</v>
      </c>
      <c r="K164" s="1">
        <v>36715</v>
      </c>
    </row>
    <row r="165" spans="2:11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  <c r="H165" s="1">
        <v>918</v>
      </c>
      <c r="I165" s="1">
        <v>4129</v>
      </c>
      <c r="J165" s="1">
        <v>7926</v>
      </c>
      <c r="K165" s="1">
        <v>37204</v>
      </c>
    </row>
    <row r="166" spans="2:11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  <c r="H166" s="1">
        <v>773</v>
      </c>
      <c r="I166" s="1">
        <v>3926</v>
      </c>
      <c r="J166" s="1">
        <v>7796</v>
      </c>
      <c r="K166" s="1">
        <v>37854</v>
      </c>
    </row>
    <row r="167" spans="2:11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  <c r="H167" s="1">
        <v>927</v>
      </c>
      <c r="I167" s="1">
        <v>4353</v>
      </c>
      <c r="J167" s="1">
        <v>7118</v>
      </c>
      <c r="K167" s="1">
        <v>38771</v>
      </c>
    </row>
    <row r="168" spans="2:11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  <c r="H168" s="1">
        <v>804</v>
      </c>
      <c r="I168" s="1">
        <v>4175</v>
      </c>
      <c r="J168" s="1">
        <v>8103</v>
      </c>
      <c r="K168" s="33">
        <v>39612</v>
      </c>
    </row>
    <row r="169" spans="2:11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  <c r="H169" s="1">
        <v>866</v>
      </c>
      <c r="I169" s="1">
        <v>4285</v>
      </c>
      <c r="J169" s="1">
        <v>7866</v>
      </c>
      <c r="K169" s="1">
        <v>39687</v>
      </c>
    </row>
    <row r="170" spans="2:11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  <c r="H170" s="1">
        <v>765</v>
      </c>
      <c r="I170" s="1">
        <v>3634</v>
      </c>
      <c r="J170" s="1">
        <v>7299</v>
      </c>
      <c r="K170" s="1">
        <v>39712</v>
      </c>
    </row>
    <row r="171" spans="2:11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  <c r="H171" s="1">
        <v>719</v>
      </c>
      <c r="I171" s="1">
        <v>3363</v>
      </c>
      <c r="J171" s="1">
        <v>6497</v>
      </c>
      <c r="K171" s="1">
        <v>38939</v>
      </c>
    </row>
    <row r="172" spans="2:11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  <c r="H172" s="38">
        <v>686</v>
      </c>
      <c r="I172" s="38">
        <v>3168</v>
      </c>
      <c r="J172" s="38">
        <v>6120</v>
      </c>
      <c r="K172" s="37">
        <v>38563</v>
      </c>
    </row>
    <row r="173" spans="2:11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  <c r="H173" s="1">
        <v>997</v>
      </c>
      <c r="I173" s="1">
        <v>4336</v>
      </c>
      <c r="J173" s="1">
        <v>6954</v>
      </c>
      <c r="K173" s="1">
        <v>39440</v>
      </c>
    </row>
    <row r="174" spans="2:11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  <c r="H174" s="1">
        <v>142</v>
      </c>
      <c r="I174" s="1">
        <v>3522</v>
      </c>
      <c r="J174" s="1">
        <v>7720</v>
      </c>
      <c r="K174" s="1">
        <v>40617</v>
      </c>
    </row>
    <row r="175" spans="2:11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  <c r="H175" s="1">
        <v>910</v>
      </c>
      <c r="I175" s="1">
        <v>4498</v>
      </c>
      <c r="J175" s="1">
        <v>8527</v>
      </c>
      <c r="K175" s="1">
        <v>41064</v>
      </c>
    </row>
    <row r="176" spans="2:11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  <c r="H176" s="1">
        <v>879</v>
      </c>
      <c r="I176" s="1">
        <v>4399</v>
      </c>
      <c r="J176" s="1">
        <v>8637</v>
      </c>
      <c r="K176" s="1">
        <v>41989</v>
      </c>
    </row>
    <row r="177" spans="2:11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  <c r="H177" s="1">
        <v>895</v>
      </c>
      <c r="I177" s="1">
        <v>3960</v>
      </c>
      <c r="J177" s="1">
        <v>7892</v>
      </c>
      <c r="K177" s="1">
        <v>42061</v>
      </c>
    </row>
    <row r="178" spans="2:11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  <c r="H178" s="1">
        <v>728</v>
      </c>
      <c r="I178" s="1">
        <v>3785</v>
      </c>
      <c r="J178" s="1">
        <v>7508</v>
      </c>
      <c r="K178" s="1">
        <v>41653</v>
      </c>
    </row>
    <row r="179" spans="2:11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  <c r="H179" s="1">
        <v>579</v>
      </c>
      <c r="I179" s="1">
        <v>3036</v>
      </c>
      <c r="J179" s="1">
        <v>6243</v>
      </c>
      <c r="K179" s="1">
        <v>40935</v>
      </c>
    </row>
    <row r="180" spans="2:11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  <c r="H180" s="1">
        <v>340</v>
      </c>
      <c r="I180" s="1">
        <v>1872</v>
      </c>
      <c r="J180" s="1">
        <v>4194</v>
      </c>
      <c r="K180" s="1">
        <v>38882</v>
      </c>
    </row>
    <row r="181" spans="2:11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  <c r="H181" s="1">
        <v>63</v>
      </c>
      <c r="I181" s="1">
        <v>1447</v>
      </c>
      <c r="J181" s="1">
        <v>3408</v>
      </c>
      <c r="K181" s="1">
        <v>38129</v>
      </c>
    </row>
    <row r="182" spans="2:11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  <c r="H182" s="1">
        <v>691</v>
      </c>
      <c r="I182" s="1">
        <v>3167</v>
      </c>
      <c r="J182" s="1">
        <v>3677</v>
      </c>
      <c r="K182" s="1">
        <v>38131</v>
      </c>
    </row>
    <row r="183" spans="2:11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  <c r="H183" s="1">
        <v>704</v>
      </c>
      <c r="I183" s="1">
        <v>3385</v>
      </c>
      <c r="J183" s="1">
        <v>6345</v>
      </c>
      <c r="K183" s="1">
        <v>38203</v>
      </c>
    </row>
    <row r="184" spans="2:11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  <c r="H184" s="1">
        <v>772</v>
      </c>
      <c r="I184" s="1">
        <v>3714</v>
      </c>
      <c r="J184" s="1">
        <v>7191</v>
      </c>
      <c r="K184" s="1">
        <v>38643</v>
      </c>
    </row>
    <row r="185" spans="2:11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  <c r="H185" s="1">
        <v>774</v>
      </c>
      <c r="I185" s="1">
        <v>3720</v>
      </c>
      <c r="J185" s="1">
        <v>7138</v>
      </c>
      <c r="K185" s="1">
        <v>38897</v>
      </c>
    </row>
    <row r="186" spans="2:11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  <c r="H186" s="1">
        <v>793</v>
      </c>
      <c r="I186" s="1">
        <v>3770</v>
      </c>
      <c r="J186" s="1">
        <v>7099</v>
      </c>
      <c r="K186" s="1">
        <v>38916</v>
      </c>
    </row>
    <row r="187" spans="2:11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  <c r="H187" s="1">
        <v>844</v>
      </c>
      <c r="I187" s="1">
        <v>3772</v>
      </c>
      <c r="J187" s="1">
        <v>7452</v>
      </c>
      <c r="K187" s="1">
        <v>39231</v>
      </c>
    </row>
    <row r="188" spans="2:11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  <c r="H188" s="1">
        <v>784</v>
      </c>
      <c r="I188" s="1">
        <v>3766</v>
      </c>
      <c r="J188" s="1">
        <v>7295</v>
      </c>
      <c r="K188" s="1">
        <v>39165</v>
      </c>
    </row>
    <row r="189" spans="2:11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  <c r="H189" s="1">
        <v>882</v>
      </c>
      <c r="I189" s="1">
        <v>3829</v>
      </c>
      <c r="J189" s="1">
        <v>6293</v>
      </c>
      <c r="K189" s="1">
        <v>39633</v>
      </c>
    </row>
    <row r="190" spans="2:11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  <c r="H190" s="1">
        <v>88</v>
      </c>
      <c r="I190" s="1">
        <v>3266</v>
      </c>
      <c r="J190" s="1">
        <v>7003</v>
      </c>
      <c r="K190" s="1">
        <v>40104</v>
      </c>
    </row>
    <row r="191" spans="2:11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  <c r="H191" s="1">
        <v>903</v>
      </c>
      <c r="I191" s="1">
        <v>4263</v>
      </c>
      <c r="J191" s="1">
        <v>7376</v>
      </c>
      <c r="K191" s="1">
        <v>40349</v>
      </c>
    </row>
    <row r="192" spans="2:11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  <c r="H192" s="1">
        <v>590</v>
      </c>
      <c r="I192" s="1">
        <v>3456</v>
      </c>
      <c r="J192" s="1">
        <v>7344</v>
      </c>
      <c r="K192" s="1">
        <v>41000</v>
      </c>
    </row>
    <row r="193" spans="2:11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  <c r="H193" s="1">
        <v>865</v>
      </c>
      <c r="I193" s="1">
        <v>4534</v>
      </c>
      <c r="J193" s="1">
        <v>8581</v>
      </c>
      <c r="K193" s="1">
        <v>41626</v>
      </c>
    </row>
    <row r="194" spans="2:11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  <c r="H194" s="1">
        <v>932</v>
      </c>
      <c r="I194" s="1">
        <v>4656</v>
      </c>
      <c r="J194" s="1">
        <v>8771</v>
      </c>
      <c r="K194" s="1">
        <v>42512</v>
      </c>
    </row>
    <row r="195" spans="2:11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  <c r="H195" s="1">
        <v>947</v>
      </c>
      <c r="I195" s="1">
        <v>4464</v>
      </c>
      <c r="J195" s="1">
        <v>8505</v>
      </c>
      <c r="K195" s="1">
        <v>43271</v>
      </c>
    </row>
    <row r="196" spans="2:11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  <c r="H196" s="1">
        <v>792</v>
      </c>
      <c r="I196" s="1">
        <v>3934</v>
      </c>
      <c r="J196" s="1">
        <v>8016</v>
      </c>
      <c r="K196" s="1">
        <v>43464</v>
      </c>
    </row>
    <row r="197" spans="2:11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  <c r="H197" s="1">
        <v>817</v>
      </c>
      <c r="I197" s="1">
        <v>3688</v>
      </c>
      <c r="J197" s="1">
        <v>7175</v>
      </c>
      <c r="K197" s="1">
        <v>43451</v>
      </c>
    </row>
    <row r="198" spans="2:11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  <c r="H198" s="1">
        <v>732</v>
      </c>
      <c r="I198" s="1">
        <v>3274</v>
      </c>
      <c r="J198" s="1">
        <v>6320</v>
      </c>
      <c r="K198" s="1">
        <v>43191</v>
      </c>
    </row>
    <row r="199" spans="2:11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  <c r="H199" s="1">
        <v>1016</v>
      </c>
      <c r="I199" s="1">
        <v>4265</v>
      </c>
      <c r="J199" s="1">
        <v>6766</v>
      </c>
      <c r="K199" s="1">
        <v>43534</v>
      </c>
    </row>
    <row r="200" spans="2:11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  <c r="H200" s="1">
        <v>933</v>
      </c>
      <c r="I200" s="1">
        <v>4481</v>
      </c>
      <c r="J200" s="1">
        <v>8911</v>
      </c>
      <c r="K200" s="1">
        <v>45033</v>
      </c>
    </row>
    <row r="201" spans="2:11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  <c r="H201" s="1">
        <v>991</v>
      </c>
      <c r="I201" s="1">
        <v>4437</v>
      </c>
      <c r="J201" s="1">
        <v>8582</v>
      </c>
      <c r="K201" s="1">
        <v>47011</v>
      </c>
    </row>
    <row r="202" spans="2:11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  <c r="H202" s="1">
        <v>988</v>
      </c>
      <c r="I202" s="1">
        <v>4543</v>
      </c>
      <c r="J202" s="1">
        <v>8600</v>
      </c>
      <c r="K202" s="1">
        <v>47147</v>
      </c>
    </row>
    <row r="203" spans="2:11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  <c r="H203" s="1">
        <v>923</v>
      </c>
      <c r="I203" s="1">
        <v>3876</v>
      </c>
      <c r="J203" s="1">
        <v>7706</v>
      </c>
      <c r="K203" s="1">
        <v>46263</v>
      </c>
    </row>
    <row r="204" spans="2:11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  <c r="H204" s="1">
        <v>767</v>
      </c>
      <c r="I204" s="1">
        <v>3639</v>
      </c>
      <c r="J204" s="1">
        <v>7193</v>
      </c>
      <c r="K204" s="1">
        <v>44812</v>
      </c>
    </row>
    <row r="205" spans="2:11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  <c r="H205" s="1">
        <v>536</v>
      </c>
      <c r="I205" s="1">
        <v>2839</v>
      </c>
      <c r="J205" s="1">
        <v>5887</v>
      </c>
      <c r="K205" s="1">
        <v>43068</v>
      </c>
    </row>
    <row r="206" spans="2:11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  <c r="H206" s="1">
        <v>353</v>
      </c>
      <c r="I206" s="1">
        <v>1890</v>
      </c>
      <c r="J206" s="1">
        <v>4039</v>
      </c>
      <c r="K206" s="1">
        <v>40805</v>
      </c>
    </row>
    <row r="207" spans="2:11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  <c r="H207" s="1">
        <v>50</v>
      </c>
      <c r="I207" s="1">
        <v>1714</v>
      </c>
      <c r="J207" s="1">
        <v>3902</v>
      </c>
      <c r="K207" s="1">
        <v>40644</v>
      </c>
    </row>
    <row r="208" spans="2:11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  <c r="H208" s="1">
        <v>771</v>
      </c>
      <c r="I208" s="1">
        <v>3176</v>
      </c>
      <c r="J208" s="1">
        <v>4263</v>
      </c>
      <c r="K208" s="1">
        <v>40803</v>
      </c>
    </row>
    <row r="209" spans="2:11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  <c r="H209" s="1">
        <v>838</v>
      </c>
      <c r="I209" s="1">
        <v>3685</v>
      </c>
      <c r="J209" s="1">
        <v>6875</v>
      </c>
      <c r="K209" s="1">
        <v>41381</v>
      </c>
    </row>
    <row r="210" spans="2:11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  <c r="H210" s="1">
        <v>934</v>
      </c>
      <c r="I210" s="1">
        <v>4175</v>
      </c>
      <c r="J210" s="1">
        <v>7711</v>
      </c>
      <c r="K210" s="1">
        <v>41639</v>
      </c>
    </row>
    <row r="211" spans="2:11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  <c r="H211" s="1">
        <v>894</v>
      </c>
      <c r="I211" s="1">
        <v>4032</v>
      </c>
      <c r="J211" s="1">
        <v>7779</v>
      </c>
      <c r="K211" s="1">
        <v>41799</v>
      </c>
    </row>
    <row r="212" spans="2:11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  <c r="H212" s="1">
        <v>962</v>
      </c>
      <c r="I212" s="1">
        <v>4356</v>
      </c>
      <c r="J212" s="1">
        <v>8430</v>
      </c>
      <c r="K212" s="1">
        <v>42076</v>
      </c>
    </row>
    <row r="213" spans="2:11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  <c r="H213" s="1">
        <v>1018</v>
      </c>
      <c r="I213" s="1">
        <v>4416</v>
      </c>
      <c r="J213" s="1">
        <v>8404</v>
      </c>
      <c r="K213" s="1">
        <v>43253</v>
      </c>
    </row>
    <row r="214" spans="2:11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  <c r="H214" s="1">
        <v>213</v>
      </c>
      <c r="I214" s="1">
        <v>3412</v>
      </c>
      <c r="J214" s="1">
        <v>7499</v>
      </c>
      <c r="K214" s="1">
        <v>44128</v>
      </c>
    </row>
    <row r="215" spans="2:11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  <c r="H215" s="1">
        <v>1081</v>
      </c>
      <c r="I215" s="1">
        <v>4650</v>
      </c>
      <c r="J215" s="1">
        <v>8640</v>
      </c>
      <c r="K215" s="1">
        <v>44785</v>
      </c>
    </row>
    <row r="216" spans="2:11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  <c r="H216" s="1">
        <v>1057</v>
      </c>
      <c r="I216" s="1">
        <v>4941</v>
      </c>
      <c r="J216" s="1">
        <v>8750</v>
      </c>
      <c r="K216" s="1">
        <v>46805</v>
      </c>
    </row>
    <row r="217" spans="2:11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  <c r="H217" s="1">
        <v>88</v>
      </c>
      <c r="I217" s="1">
        <v>3756</v>
      </c>
      <c r="J217" s="1">
        <v>8415</v>
      </c>
      <c r="K217" s="1">
        <v>47351</v>
      </c>
    </row>
    <row r="218" spans="2:11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  <c r="H218" s="1">
        <v>902</v>
      </c>
      <c r="I218" s="1">
        <v>4609</v>
      </c>
      <c r="J218" s="1">
        <v>9210</v>
      </c>
      <c r="K218" s="1">
        <v>47842</v>
      </c>
    </row>
    <row r="219" spans="2:11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  <c r="H219" s="1">
        <v>983</v>
      </c>
      <c r="I219" s="1">
        <v>4432</v>
      </c>
      <c r="J219" s="1">
        <v>8524</v>
      </c>
      <c r="K219" s="1">
        <v>48032</v>
      </c>
    </row>
    <row r="220" spans="2:11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  <c r="H220" s="1">
        <v>1016</v>
      </c>
      <c r="I220" s="1">
        <v>4230</v>
      </c>
      <c r="J220" s="1">
        <v>8101</v>
      </c>
      <c r="K220" s="1">
        <v>48300</v>
      </c>
    </row>
    <row r="221" spans="2:11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  <c r="H221" s="1">
        <v>936</v>
      </c>
      <c r="I221" s="1">
        <v>4314</v>
      </c>
      <c r="J221" s="1">
        <v>8335</v>
      </c>
      <c r="K221" s="1">
        <v>48114</v>
      </c>
    </row>
    <row r="222" spans="2:11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  <c r="H222" s="1">
        <v>734</v>
      </c>
      <c r="I222" s="1">
        <v>3755</v>
      </c>
      <c r="J222" s="1">
        <v>7417</v>
      </c>
      <c r="K222" s="1">
        <v>47563</v>
      </c>
    </row>
    <row r="223" spans="2:11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  <c r="H223" s="1">
        <v>748</v>
      </c>
      <c r="I223" s="1">
        <v>3511</v>
      </c>
      <c r="J223" s="1">
        <v>7074</v>
      </c>
      <c r="K223" s="1">
        <v>47279</v>
      </c>
    </row>
    <row r="224" spans="2:11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  <c r="H224" s="1">
        <v>1126</v>
      </c>
      <c r="I224" s="1">
        <v>5443</v>
      </c>
      <c r="J224" s="1">
        <v>10463</v>
      </c>
      <c r="K224" s="1">
        <v>49649</v>
      </c>
    </row>
    <row r="225" spans="2:11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  <c r="H225" s="1">
        <v>1021</v>
      </c>
      <c r="I225" s="1">
        <v>1379</v>
      </c>
      <c r="J225" s="1">
        <v>9325</v>
      </c>
      <c r="K225" s="1">
        <v>49641</v>
      </c>
    </row>
    <row r="226" spans="2:11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  <c r="H226" s="1">
        <v>930</v>
      </c>
      <c r="I226" s="1">
        <v>1474</v>
      </c>
      <c r="J226" s="1">
        <v>8990</v>
      </c>
      <c r="K226" s="1">
        <v>49450</v>
      </c>
    </row>
    <row r="227" spans="2:11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  <c r="H227" s="1">
        <v>723</v>
      </c>
      <c r="I227" s="1">
        <v>3997</v>
      </c>
      <c r="J227" s="1">
        <v>7894</v>
      </c>
      <c r="K227" s="1">
        <v>49350</v>
      </c>
    </row>
    <row r="228" spans="2:11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  <c r="H228" s="1">
        <v>923</v>
      </c>
      <c r="I228" s="1">
        <v>4267</v>
      </c>
      <c r="J228" s="1">
        <v>8074</v>
      </c>
      <c r="K228" s="1">
        <v>48611</v>
      </c>
    </row>
    <row r="229" spans="2:11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  <c r="H229" s="1">
        <v>696</v>
      </c>
      <c r="I229" s="1">
        <v>3629</v>
      </c>
      <c r="J229" s="1">
        <v>7295</v>
      </c>
      <c r="K229" s="1">
        <v>47458</v>
      </c>
    </row>
    <row r="230" spans="2:11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  <c r="H230" s="1">
        <v>567</v>
      </c>
      <c r="I230" s="1">
        <v>2657</v>
      </c>
      <c r="J230" s="1">
        <v>5713</v>
      </c>
      <c r="K230" s="1">
        <v>45493</v>
      </c>
    </row>
    <row r="231" spans="2:11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  <c r="H231" s="1">
        <v>886</v>
      </c>
      <c r="I231" s="1">
        <v>2714</v>
      </c>
      <c r="J231" s="1">
        <v>4761</v>
      </c>
      <c r="K231" s="1">
        <v>43841</v>
      </c>
    </row>
    <row r="232" spans="2:11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  <c r="H232" s="1">
        <v>952</v>
      </c>
      <c r="I232" s="1">
        <v>2850</v>
      </c>
      <c r="J232" s="1">
        <v>5537</v>
      </c>
      <c r="K232" s="1">
        <v>45661</v>
      </c>
    </row>
    <row r="233" spans="2:11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  <c r="H233" s="1">
        <v>908</v>
      </c>
      <c r="I233" s="1">
        <v>4867</v>
      </c>
      <c r="J233" s="1">
        <v>9120</v>
      </c>
      <c r="K233" s="1">
        <v>47262</v>
      </c>
    </row>
    <row r="234" spans="2:11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  <c r="H234" s="1">
        <v>1103</v>
      </c>
      <c r="I234" s="1">
        <v>4940</v>
      </c>
      <c r="J234" s="1">
        <v>9370</v>
      </c>
      <c r="K234" s="33">
        <v>47928</v>
      </c>
    </row>
    <row r="235" spans="2:11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  <c r="H235" s="1">
        <v>1050</v>
      </c>
      <c r="I235" s="1">
        <v>4927</v>
      </c>
      <c r="J235" s="1">
        <v>9728</v>
      </c>
      <c r="K235" s="1">
        <v>48420</v>
      </c>
    </row>
    <row r="236" spans="2:11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  <c r="H236" s="1">
        <v>1215</v>
      </c>
      <c r="I236" s="1">
        <v>5484</v>
      </c>
      <c r="J236" s="1">
        <v>10267</v>
      </c>
      <c r="K236" s="1">
        <v>51194</v>
      </c>
    </row>
    <row r="237" spans="2:11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  <c r="H237" s="1">
        <v>1179</v>
      </c>
      <c r="I237" s="1">
        <v>5542</v>
      </c>
      <c r="J237" s="1">
        <v>11028</v>
      </c>
      <c r="K237" s="1">
        <v>52497</v>
      </c>
    </row>
    <row r="238" spans="2:11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  <c r="H238" s="1">
        <v>1292</v>
      </c>
      <c r="I238" s="1">
        <v>5631</v>
      </c>
      <c r="J238" s="1">
        <v>10750</v>
      </c>
      <c r="K238" s="1">
        <v>53148</v>
      </c>
    </row>
    <row r="239" spans="2:11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  <c r="H239" s="1">
        <v>1085</v>
      </c>
      <c r="I239" s="1">
        <v>5390</v>
      </c>
      <c r="J239" s="1">
        <v>10974</v>
      </c>
      <c r="K239" s="1">
        <v>54109</v>
      </c>
    </row>
    <row r="240" spans="2:11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  <c r="H240" s="1">
        <v>1230</v>
      </c>
      <c r="I240" s="1">
        <v>5338</v>
      </c>
      <c r="J240" s="1">
        <v>11008</v>
      </c>
      <c r="K240" s="1">
        <v>56707</v>
      </c>
    </row>
    <row r="241" spans="2:11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  <c r="H241" s="1">
        <v>1285</v>
      </c>
      <c r="I241" s="1">
        <v>6282</v>
      </c>
      <c r="J241" s="1">
        <v>11163</v>
      </c>
      <c r="K241" s="1">
        <v>57210</v>
      </c>
    </row>
    <row r="242" spans="2:11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  <c r="H242" s="1">
        <v>214</v>
      </c>
      <c r="I242" s="1">
        <v>4922</v>
      </c>
      <c r="J242" s="1">
        <v>10684</v>
      </c>
      <c r="K242" s="1">
        <v>57889</v>
      </c>
    </row>
    <row r="243" spans="2:11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  <c r="H243" s="1">
        <v>1447</v>
      </c>
      <c r="I243" s="1">
        <v>6398</v>
      </c>
      <c r="J243" s="1">
        <v>12008</v>
      </c>
      <c r="K243" s="1">
        <v>58885</v>
      </c>
    </row>
    <row r="244" spans="2:11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  <c r="H244" s="1">
        <v>1240</v>
      </c>
      <c r="I244" s="1">
        <v>5684</v>
      </c>
      <c r="J244" s="1">
        <v>11386</v>
      </c>
      <c r="K244" s="1">
        <v>59322</v>
      </c>
    </row>
    <row r="245" spans="2:11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  <c r="H245" s="1">
        <v>1173</v>
      </c>
      <c r="I245" s="1">
        <v>5392</v>
      </c>
      <c r="J245" s="1">
        <v>10585</v>
      </c>
      <c r="K245" s="1">
        <v>59182</v>
      </c>
    </row>
    <row r="246" spans="2:11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  <c r="H246" s="1">
        <v>1132</v>
      </c>
      <c r="I246" s="1">
        <v>5323</v>
      </c>
      <c r="J246" s="1">
        <v>10301</v>
      </c>
      <c r="K246" s="1">
        <v>58726</v>
      </c>
    </row>
    <row r="247" spans="2:11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  <c r="H247" s="1">
        <v>931</v>
      </c>
      <c r="I247" s="1">
        <v>4521</v>
      </c>
      <c r="J247" s="1">
        <v>8826</v>
      </c>
      <c r="K247" s="1">
        <v>57854</v>
      </c>
    </row>
    <row r="248" spans="2:11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  <c r="H248" s="1">
        <v>846</v>
      </c>
      <c r="I248" s="1">
        <v>3926</v>
      </c>
      <c r="J248" s="1">
        <v>7741</v>
      </c>
      <c r="K248" s="1">
        <v>57076</v>
      </c>
    </row>
    <row r="249" spans="2:11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  <c r="H249" s="1">
        <v>1375</v>
      </c>
      <c r="I249" s="1">
        <v>5328</v>
      </c>
      <c r="J249" s="1">
        <v>8421</v>
      </c>
      <c r="K249" s="1">
        <v>57148</v>
      </c>
    </row>
    <row r="250" spans="2:11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  <c r="H250" s="1">
        <v>1248</v>
      </c>
      <c r="I250" s="1">
        <v>5899</v>
      </c>
      <c r="J250" s="1">
        <v>11739</v>
      </c>
      <c r="K250" s="1">
        <v>58840</v>
      </c>
    </row>
    <row r="251" spans="2:11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  <c r="H251" s="1">
        <v>1153</v>
      </c>
      <c r="I251" s="1">
        <v>5425</v>
      </c>
      <c r="J251" s="1">
        <v>10978</v>
      </c>
      <c r="K251" s="1">
        <v>59912</v>
      </c>
    </row>
    <row r="252" spans="2:11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  <c r="H252" s="1">
        <v>1049</v>
      </c>
      <c r="I252" s="1">
        <v>5122</v>
      </c>
      <c r="J252" s="1">
        <v>10292</v>
      </c>
      <c r="K252" s="1">
        <v>59708</v>
      </c>
    </row>
    <row r="253" spans="2:11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  <c r="H253" s="1">
        <v>885</v>
      </c>
      <c r="I253" s="1">
        <v>4302</v>
      </c>
      <c r="J253" s="1">
        <v>8936</v>
      </c>
      <c r="K253" s="1">
        <v>58533</v>
      </c>
    </row>
    <row r="254" spans="2:11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  <c r="H254" s="1">
        <v>664</v>
      </c>
      <c r="I254" s="1">
        <v>3758</v>
      </c>
      <c r="J254" s="1">
        <v>7180</v>
      </c>
      <c r="K254" s="1">
        <v>56622</v>
      </c>
    </row>
    <row r="255" spans="2:11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  <c r="H255" s="1">
        <v>550</v>
      </c>
      <c r="I255" s="1">
        <v>2796</v>
      </c>
      <c r="J255" s="1">
        <v>6141</v>
      </c>
      <c r="K255" s="1">
        <v>53040</v>
      </c>
    </row>
    <row r="256" spans="2:11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  <c r="H256" s="1">
        <v>122</v>
      </c>
      <c r="I256" s="1">
        <v>4240</v>
      </c>
      <c r="J256" s="1">
        <v>6502</v>
      </c>
      <c r="K256" s="1">
        <v>53119</v>
      </c>
    </row>
    <row r="257" spans="2:11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  <c r="H257" s="1">
        <v>1142</v>
      </c>
      <c r="I257" s="1">
        <v>2730</v>
      </c>
      <c r="J257" s="1">
        <v>7119</v>
      </c>
      <c r="K257" s="1">
        <v>53436</v>
      </c>
    </row>
    <row r="258" spans="2:11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  <c r="H258" s="1">
        <v>1163</v>
      </c>
      <c r="I258" s="1">
        <v>4862</v>
      </c>
      <c r="J258" s="1">
        <v>9177</v>
      </c>
      <c r="K258" s="1">
        <v>54371</v>
      </c>
    </row>
    <row r="259" spans="2:11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  <c r="H259" s="1">
        <v>1289</v>
      </c>
      <c r="I259" s="1">
        <v>5418</v>
      </c>
      <c r="J259" s="1">
        <v>10190</v>
      </c>
      <c r="K259" s="1">
        <v>54763</v>
      </c>
    </row>
    <row r="260" spans="2:11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  <c r="H260" s="1">
        <v>1102</v>
      </c>
      <c r="I260" s="1">
        <v>5213</v>
      </c>
      <c r="J260" s="1">
        <v>10233</v>
      </c>
      <c r="K260" s="1">
        <v>55435</v>
      </c>
    </row>
    <row r="261" spans="2:11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  <c r="H261" s="1">
        <v>1351</v>
      </c>
      <c r="I261" s="1">
        <v>5714</v>
      </c>
      <c r="J261" s="1">
        <v>10695</v>
      </c>
      <c r="K261" s="1">
        <v>56121</v>
      </c>
    </row>
  </sheetData>
  <mergeCells count="2">
    <mergeCell ref="D7:G7"/>
    <mergeCell ref="H7:K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topLeftCell="B1" zoomScaleNormal="100" workbookViewId="0">
      <selection activeCell="U213" sqref="U213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550</v>
      </c>
    </row>
    <row r="3" spans="2:8" x14ac:dyDescent="0.2">
      <c r="B3" s="1" t="s">
        <v>85</v>
      </c>
      <c r="C3" s="7" t="s">
        <v>138</v>
      </c>
    </row>
    <row r="4" spans="2:8" x14ac:dyDescent="0.2">
      <c r="B4" s="1" t="s">
        <v>87</v>
      </c>
      <c r="C4" s="1" t="s">
        <v>538</v>
      </c>
    </row>
    <row r="5" spans="2:8" x14ac:dyDescent="0.2">
      <c r="B5" s="1" t="s">
        <v>89</v>
      </c>
    </row>
    <row r="7" spans="2:8" x14ac:dyDescent="0.2">
      <c r="B7" s="44" t="s">
        <v>551</v>
      </c>
      <c r="C7" s="201">
        <v>1</v>
      </c>
      <c r="D7" s="202"/>
      <c r="E7" s="201">
        <v>2</v>
      </c>
      <c r="F7" s="202"/>
      <c r="G7" s="201">
        <v>3</v>
      </c>
      <c r="H7" s="202"/>
    </row>
    <row r="8" spans="2:8" x14ac:dyDescent="0.2">
      <c r="B8" s="45" t="s">
        <v>552</v>
      </c>
      <c r="C8" s="46" t="s">
        <v>553</v>
      </c>
      <c r="D8" s="47" t="s">
        <v>554</v>
      </c>
      <c r="E8" s="46" t="s">
        <v>555</v>
      </c>
      <c r="F8" s="47" t="s">
        <v>556</v>
      </c>
      <c r="G8" s="46" t="s">
        <v>557</v>
      </c>
      <c r="H8" s="47" t="s">
        <v>558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2026-03-17T15:36:21Z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