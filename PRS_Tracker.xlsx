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9A7E3203-ED4B-0B4C-B81C-5BF432F221BB}" xr6:coauthVersionLast="47" xr6:coauthVersionMax="47" xr10:uidLastSave="{00000000-0000-0000-0000-000000000000}"/>
  <bookViews>
    <workbookView xWindow="1520" yWindow="760" windowWidth="27580" windowHeight="18880" tabRatio="881" activeTab="1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<sst xmlns="http://schemas.openxmlformats.org/spreadsheetml/2006/main" count="1470" uniqueCount="658">
  <si>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</si>
  <si>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</si>
  <si>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</si>
  <si>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</si>
  <si>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</si>
  <si>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</si>
  <si>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</si>
  <si>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</si>
  <si>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</si>
  <si>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</si>
  <si>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</si>
  <si>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</si>
  <si>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</si>
  <si>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</si>
  <si>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</si>
  <si>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</si>
  <si>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</si>
  <si>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</si>
  <si>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</si>
  <si>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</si>
  <si>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</si>
  <si>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</si>
  <si>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</si>
  <si>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</si>
  <si>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</si>
  <si>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</si>
  <si>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</si>
  <si>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</si>
  <si>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</si>
  <si>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</si>
  <si>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</si>
  <si>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</si>
  <si>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</si>
  <si>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</si>
  <si>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</si>
  <si>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</si>
  <si>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</si>
  <si>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</si>
  <si>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</si>
  <si>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</si>
  <si>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</si>
  <si>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</si>
  <si>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</si>
  <si>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</si>
  <si>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</si>
  <si>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</si>
  <si>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</si>
  <si>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</si>
  <si>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</si>
  <si>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</si>
  <si>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</si>
  <si>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</si>
  <si>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</si>
  <si>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</si>
  <si>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</si>
  <si>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</si>
  <si>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</si>
  <si>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</si>
  <si>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</si>
  <si>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</si>
  <si>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</si>
  <si>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</si>
  <si>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</si>
  <si>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</si>
  <si>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</si>
  <si>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</si>
  <si>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</si>
  <si>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</si>
  <si>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</si>
  <si>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</si>
  <si>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</si>
  <si>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</si>
  <si>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</si>
  <si>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</si>
  <si>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</si>
  <si>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</si>
  <si>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</si>
  <si>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</si>
  <si>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</si>
  <si>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</si>
  <si>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</si>
  <si>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</si>
  <si>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</si>
  <si>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</si>
  <si>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</si>
  <si>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</si>
  <si>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</si>
  <si>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</si>
  <si>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</si>
  <si>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</si>
  <si>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</si>
  <si>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</si>
  <si>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</si>
  <si>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</si>
  <si>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</si>
  <si>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</si>
  <si>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</si>
  <si>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</si>
  <si>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</si>
  <si>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</si>
  <si>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</si>
  <si>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</si>
  <si>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</si>
  <si>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</si>
  <si>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</si>
  <si>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</si>
  <si>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</si>
  <si>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</si>
  <si>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</si>
  <si>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</si>
  <si>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</si>
  <si>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</si>
  <si>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</si>
  <si>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</si>
  <si>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</si>
  <si>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</si>
  <si>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</si>
  <si>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</si>
  <si>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</si>
  <si>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</si>
  <si>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</si>
  <si>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</si>
  <si>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</si>
  <si>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</si>
  <si>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</si>
  <si>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</si>
  <si>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</si>
  <si>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</si>
  <si>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</si>
  <si>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</si>
  <si>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</si>
  <si>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</si>
  <si>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</si>
  <si>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</si>
  <si>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</si>
  <si>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</si>
  <si>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</si>
  <si>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</si>
  <si>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</si>
  <si>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</si>
  <si>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</si>
  <si>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</si>
  <si>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</si>
  <si>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</si>
  <si>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</si>
  <si>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</si>
  <si>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</si>
  <si>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</si>
  <si>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</si>
  <si>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</si>
  <si>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</si>
  <si>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</si>
  <si>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</si>
  <si>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</si>
  <si>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</si>
  <si>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</si>
  <si>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</si>
  <si>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</si>
  <si>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</si>
  <si>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</si>
  <si>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</si>
  <si>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</si>
  <si>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</si>
  <si>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</si>
  <si>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</si>
  <si>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</si>
  <si>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</si>
  <si>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</si>
  <si>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</si>
  <si>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</si>
  <si>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</si>
  <si>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</si>
  <si>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</si>
  <si>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</si>
  <si>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</si>
  <si>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</si>
  <si>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</si>
  <si>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</si>
  <si>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</si>
  <si>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</si>
  <si>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</si>
  <si>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</si>
  <si>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</si>
  <si>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</si>
  <si>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</si>
  <si>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</si>
  <si>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</si>
  <si>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</si>
  <si>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</si>
  <si>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</si>
  <si>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</si>
  <si>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</si>
  <si>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</si>
  <si>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</si>
  <si>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</si>
  <si>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</si>
  <si>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</si>
  <si>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</si>
  <si>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</si>
  <si>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</si>
  <si>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</si>
  <si>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</si>
  <si>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</si>
  <si>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</si>
  <si>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</si>
  <si>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</si>
  <si>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</si>
  <si>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</si>
  <si>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</si>
  <si>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</si>
  <si>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</si>
  <si>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</si>
  <si>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</si>
  <si>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</si>
  <si>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</si>
  <si>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</si>
  <si>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</si>
  <si>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</si>
  <si>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</si>
  <si>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</si>
  <si>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</si>
  <si>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</si>
  <si>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</si>
  <si>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</si>
  <si>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</si>
  <si>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</si>
  <si>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</si>
  <si>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</si>
  <si>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</si>
  <si>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</si>
  <si>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</si>
  <si>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</si>
  <si>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</si>
  <si>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</si>
  <si>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</si>
  <si>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</si>
  <si>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</si>
  <si>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</si>
  <si>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</si>
  <si>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</si>
  <si>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</si>
  <si>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</si>
  <si>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</si>
  <si>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</si>
  <si>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</si>
  <si>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</si>
  <si>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</si>
  <si>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</si>
  <si>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</si>
  <si>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</si>
  <si>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</si>
  <si>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</si>
  <si>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</si>
  <si>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</si>
  <si>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</si>
  <si>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</si>
  <si>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</si>
  <si>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</si>
  <si>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</si>
  <si>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</si>
  <si>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</si>
  <si>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</si>
  <si>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</si>
  <si>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</si>
  <si>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</si>
  <si>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</si>
  <si>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</si>
  <si>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</si>
  <si>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</si>
  <si>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</si>
  <si>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</si>
  <si>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</si>
  <si>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</si>
  <si>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</si>
  <si>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</si>
  <si>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</si>
  <si>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</si>
  <si>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</si>
  <si>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</si>
  <si>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</si>
  <si>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</si>
  <si>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</si>
  <si>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</si>
  <si>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</si>
  <si>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</si>
  <si>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</si>
  <si>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</si>
  <si>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</si>
  <si>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</si>
  <si>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</si>
  <si>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</si>
  <si>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</si>
  <si>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</si>
  <si>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</si>
  <si>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</si>
  <si>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</si>
  <si>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</si>
  <si>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</si>
  <si>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</si>
  <si>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</si>
  <si>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</si>
  <si>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</si>
  <si>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</si>
  <si>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</si>
  <si>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</si>
  <si>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</si>
  <si>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</si>
  <si>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</si>
  <si>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</si>
  <si>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</si>
  <si>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</si>
  <si>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</si>
  <si>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</si>
  <si>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</si>
  <si>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</si>
  <si>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</si>
  <si>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</si>
  <si>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</si>
  <si>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</si>
  <si>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</si>
  <si>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</si>
  <si>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</si>
  <si>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</si>
  <si>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</si>
  <si>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</si>
  <si>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</si>
  <si>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</si>
  <si>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</si>
  <si>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</si>
  <si>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</si>
  <si>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</si>
  <si>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</si>
  <si>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</si>
  <si>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</si>
  <si>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</si>
  <si>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</si>
  <si>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</si>
  <si>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</si>
  <si>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</si>
  <si>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</si>
  <si>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</si>
  <si>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</si>
  <si>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</si>
  <si>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</si>
  <si>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</si>
  <si>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</si>
  <si>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</si>
  <si>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</si>
  <si>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</si>
  <si>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</si>
  <si>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</si>
  <si>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</si>
  <si>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</si>
  <si>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</si>
  <si>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</si>
  <si>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</si>
  <si>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</si>
  <si>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</si>
  <si>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</si>
  <si>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</si>
  <si>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</si>
  <si>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</si>
  <si>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</si>
  <si>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</si>
  <si>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</si>
  <si>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</si>
  <si>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</si>
  <si>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</si>
  <si>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</si>
  <si>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</si>
  <si>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</si>
  <si>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</si>
  <si>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</si>
  <si>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</si>
  <si>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</si>
  <si>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</si>
  <si>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</si>
  <si>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</si>
  <si>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</si>
  <si>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</si>
  <si>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</si>
  <si>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</si>
  <si>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</si>
  <si>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</si>
  <si>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</si>
  <si>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</si>
  <si>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</si>
  <si>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</si>
  <si>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</si>
  <si>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</si>
  <si>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</si>
  <si>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</si>
  <si>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</si>
  <si>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</si>
  <si>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</si>
  <si>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</si>
  <si>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</si>
  <si>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</si>
  <si>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</si>
  <si>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</si>
  <si>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</si>
  <si>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</si>
  <si>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</si>
  <si>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</si>
  <si>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</si>
  <si>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</si>
  <si>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</si>
  <si>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</si>
  <si>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</si>
  <si>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</si>
  <si>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</si>
  <si>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</si>
  <si>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</si>
  <si>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</si>
  <si>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</si>
  <si>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</si>
  <si>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</si>
  <si>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</si>
  <si>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</si>
  <si>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</si>
  <si>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</si>
  <si>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</si>
  <si>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</si>
  <si>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</si>
  <si>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</si>
  <si>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</si>
  <si>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</si>
  <si>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</si>
  <si>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</si>
  <si>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</si>
  <si>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</si>
  <si>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</si>
  <si>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</si>
  <si>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</si>
  <si>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</si>
  <si>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</si>
  <si>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</si>
  <si>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</si>
  <si>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</si>
  <si>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</si>
  <si>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</si>
  <si>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</si>
  <si>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</si>
  <si>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</si>
  <si>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</si>
  <si>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</si>
  <si>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</si>
  <si>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</si>
  <si>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</si>
  <si>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</si>
  <si>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</si>
  <si>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</si>
  <si>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</si>
  <si>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</si>
  <si>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</si>
  <si>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</si>
  <si>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</si>
  <si>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</si>
  <si>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</si>
  <si>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</si>
  <si>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</si>
  <si>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</si>
  <si>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</si>
  <si>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</si>
  <si>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</si>
  <si>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</si>
  <si>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</si>
  <si>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</si>
  <si>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</si>
  <si>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</si>
  <si>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</si>
  <si>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</si>
  <si>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</si>
  <si>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</si>
  <si>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</si>
  <si>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</si>
  <si>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</si>
  <si>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</si>
  <si>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</si>
  <si>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</si>
  <si>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</si>
  <si>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</si>
  <si>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</si>
  <si>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</si>
  <si>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</si>
  <si>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</si>
  <si>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</si>
  <si>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</si>
  <si>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</si>
  <si>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</si>
  <si>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</si>
  <si>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</si>
  <si>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</si>
  <si>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</si>
  <si>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</si>
  <si>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</si>
  <si>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</si>
  <si>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</si>
  <si>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</si>
  <si>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</si>
  <si>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</si>
  <si>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</si>
  <si>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</si>
  <si>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</si>
  <si>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</si>
  <si>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</si>
  <si>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</si>
  <si>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</si>
  <si>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</si>
  <si>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</si>
  <si>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</si>
  <si>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</si>
  <si>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</si>
  <si>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</si>
  <si>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</si>
  <si>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</si>
  <si>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</si>
  <si>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</si>
  <si>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</si>
  <si>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</si>
  <si>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</si>
  <si>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</si>
  <si>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</si>
  <si>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</si>
  <si>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</si>
  <si>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</si>
  <si>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</si>
  <si>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</si>
  <si>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</si>
  <si>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</si>
  <si>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</si>
  <si>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</si>
  <si>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</si>
  <si>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</si>
  <si>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</si>
  <si>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</si>
  <si>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</si>
  <si>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</si>
  <si>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</si>
  <si>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</si>
  <si>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</si>
  <si>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</si>
  <si>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</si>
  <si>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</si>
  <si>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</si>
  <si>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</si>
  <si>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</si>
  <si>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</si>
  <si>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</si>
  <si>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</si>
  <si>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</si>
  <si>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</si>
  <si>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</si>
  <si>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</si>
  <si>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</si>
  <si>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</si>
  <si>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</si>
  <si>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</si>
  <si>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</si>
  <si>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</si>
  <si>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</si>
  <si>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</si>
  <si>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</si>
  <si>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</si>
  <si>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</si>
  <si>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</si>
  <si>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</si>
  <si>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</si>
  <si>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</si>
  <si>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</si>
  <si>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</si>
  <si>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</si>
  <si>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</si>
  <si>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</si>
  <si>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</si>
  <si>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</si>
  <si>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</si>
  <si>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</si>
  <si>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</si>
  <si>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</si>
  <si>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</si>
  <si>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</si>
  <si>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</si>
  <si>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</si>
  <si>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</si>
  <si>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</si>
  <si>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</si>
  <si>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</si>
  <si>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</si>
  <si>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</si>
  <si>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</si>
  <si>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</si>
  <si>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</si>
  <si>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</si>
  <si>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</si>
  <si>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</si>
  <si>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</si>
  <si>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</si>
  <si>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</si>
  <si>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</si>
  <si>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</si>
  <si>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</si>
  <si>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</si>
  <si>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</si>
  <si>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</si>
  <si>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</si>
  <si>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</si>
  <si>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</si>
  <si>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</si>
  <si>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</si>
  <si>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</si>
  <si>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</si>
  <si>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</si>
  <si>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</si>
  <si>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</si>
  <si>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</si>
  <si>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</si>
  <si>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</si>
  <si>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</si>
  <si>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</si>
  <si>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</si>
  <si>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</si>
  <si>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</si>
  <si>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</si>
  <si>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</si>
  <si>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</si>
  <si>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</si>
  <si>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</si>
  <si>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</si>
  <si>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</si>
  <si>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</si>
  <si>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</si>
  <si>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</si>
  <si>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</si>
  <si>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</si>
  <si>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</si>
  <si>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</si>
  <si>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</si>
  <si>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</si>
  <si>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</si>
  <si>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</si>
  <si>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</si>
  <si>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</si>
  <si>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</si>
  <si>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</si>
  <si>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</si>
  <si>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</si>
  <si>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</si>
  <si>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</si>
  <si>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</si>
  <si>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</si>
  <si>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</si>
  <si>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</si>
  <si>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</si>
  <si>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</si>
  <si>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</si>
  <si>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claims in London</t>
  </si>
  <si>
    <t>quarterly, Mortgage and landlord possession statistical tables for England and Wales data, zip file for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</si>
</sst>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rgb="FF000000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3" fontId="0" fillId="9" borderId="0" xfId="0" applyNumberFormat="1" applyFill="1"/>
    <xf numFmtId="3" fontId="0" fillId="9" borderId="36" xfId="0" applyNumberFormat="1" applyFill="1" applyBorder="1"/>
    <xf numFmtId="14" fontId="31" fillId="2" borderId="1" xfId="0" applyNumberFormat="1" applyFont="1" applyFill="1" applyBorder="1"/>
    <xf numFmtId="14" fontId="30" fillId="0" borderId="0" xfId="0" applyNumberFormat="1" applyFont="1"/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trends'!$D$8:$R$8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trends'!$D$9:$R$9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trends'!$D$10:$R$10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trends'!$D$11:$R$11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trends'!$D$12:$R$12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trends'!$D$13:$R$13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trends'!$D$14:$R$14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trends'!$D$15:$R$15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trends'!$D$16:$R$16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trends'!$D$17:$R$17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trends'!$D$18:$R$18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trends'!$D$19:$R$19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trends'!$D$20:$R$20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trends'!$D$21:$R$21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trends'!$D$22:$R$22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trends'!$D$23:$R$23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trends'!$D$24:$R$24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trends'!$D$25:$R$25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trends'!$D$26:$R$26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trends'!$D$27:$R$27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trends'!$D$28:$R$28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trends'!$D$29:$R$29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trends'!$D$30:$R$30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trends'!$D$31:$R$31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trends'!$D$32:$R$32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trends'!$D$33:$R$33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trends'!$D$34:$R$34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trends'!$D$35:$R$35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trends'!$D$36:$R$36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trends'!$D$37:$R$37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trends'!$D$38:$R$38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trends'!$D$39:$R$39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trends'!$D$40:$R$40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trends'!$D$41:$R$41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trends'!$D$42:$R$42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trends'!$D$43:$R$43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trends'!$D$44:$R$44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trends'!$D$45:$R$45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trends'!$D$46:$R$46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trends'!$D$47:$R$47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trends'!$D$48:$R$48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trends'!$D$49:$R$49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trends'!$D$50:$R$50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trends'!$D$51:$R$51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trends'!$D$52:$R$52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trends'!$D$53:$R$53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trends'!$D$54:$R$54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trends'!$D$55:$R$55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trends'!$D$56:$R$56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trends'!$D$57:$R$57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trends'!$D$58:$R$58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trends'!$D$59:$R$59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trends'!$D$60:$R$60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trends'!$D$61:$R$61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trends'!$D$62:$R$62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trends'!$D$63:$R$63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trends'!$D$64:$R$64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trends'!$D$65:$R$65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trends'!$D$66:$R$66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trends'!$D$67:$R$67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trends'!$D$68:$R$68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trends'!$D$69:$R$69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trends'!$D$70:$R$70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trends'!$D$71:$R$71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trends'!$D$72:$R$72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trends'!$D$73:$R$73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trends'!$D$74:$R$74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trends'!$D$75:$R$75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trends'!$D$76:$R$76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trends'!$D$77:$R$77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trends'!$D$78:$R$78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trends'!$D$79:$R$79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trends'!$D$80:$R$80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trends'!$D$81:$R$81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trends'!$D$82:$R$82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trends'!$D$83:$R$83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trends'!$D$84:$R$84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trends'!$D$85:$R$85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trends'!$D$86:$R$86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trends'!$D$87:$R$87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trends'!$D$88:$R$88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trends'!$D$89:$R$89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trends'!$D$90:$R$90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trends'!$D$91:$R$91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trends'!$D$92:$R$92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trends'!$D$93:$R$93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trends'!$D$94:$R$94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trends'!$D$95:$R$95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trends'!$D$96:$R$96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trends'!$D$97:$R$97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trends'!$D$98:$R$98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trends'!$D$99:$R$99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trends'!$D$100:$R$100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trends'!$D$101:$R$101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trends'!$D$102:$R$102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trends'!$D$103:$R$103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trends'!$D$104:$R$104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trends'!$D$105:$R$105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trends'!$D$106:$R$106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trends'!$D$107:$R$107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trends'!$D$108:$R$108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trends'!$D$109:$R$109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trends'!$D$110:$R$110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trends'!$D$111:$R$111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trends'!$D$112:$R$112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trends'!$D$113:$R$113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trends'!$D$114:$R$114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trends'!$D$115:$R$115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trends'!$D$116:$R$116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trends'!$D$117:$R$117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trends'!$D$118:$R$118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trends'!$D$119:$R$119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trends'!$D$120:$R$120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trends'!$D$121:$R$121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trends'!$D$122:$R$122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trends'!$D$123:$R$123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trends'!$D$124:$R$124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trends'!$D$125:$R$125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trends'!$D$126:$R$126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trends'!$D$127:$R$127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trends'!$D$128:$R$128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trends'!$D$129:$R$129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trends'!$D$130:$R$130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trends'!$D$131:$R$131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trends'!$D$132:$R$132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trends'!$D$133:$R$133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trends'!$D$134:$R$134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trends'!$D$135:$R$135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trends'!$D$136:$R$136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trends'!$D$137:$R$137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trends'!$D$138:$R$138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trends'!$D$139:$R$139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trends'!$D$140:$R$140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trends'!$D$141:$R$141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trends'!$D$142:$R$142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trends'!$D$143:$R$143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trends'!$D$144:$R$144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trends'!$D$145:$R$145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trends'!$D$146:$R$146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trends'!$D$147:$R$147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trends'!$D$148:$R$148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trends'!$D$149:$R$149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trends'!$D$150:$R$150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trends'!$D$151:$R$151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trends'!$D$152:$R$152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trends'!$D$153:$R$153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trends'!$D$154:$R$154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trends'!$D$155:$R$155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trends'!$D$156:$R$156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trends'!$D$157:$R$157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trends'!$D$158:$R$158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trends'!$D$159:$R$159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trends'!$D$160:$R$160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trends'!$D$161:$R$161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trends'!$D$162:$R$162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trends'!$D$163:$R$163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trends'!$D$164:$R$164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trends'!$D$165:$R$165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trends'!$D$166:$R$166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trends'!$D$167:$R$167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trends'!$D$168:$R$168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trends'!$D$172:$R$172</c:f>
              <c:numCache>
                <c:formatCode>General</c:formatCode>
                <c:ptCount val="15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  <c:pt idx="12">
                  <c:v>107</c:v>
                </c:pt>
                <c:pt idx="13">
                  <c:v>97</c:v>
                </c:pt>
                <c:pt idx="14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trends'!$D$174:$R$174</c:f>
              <c:numCache>
                <c:formatCode>General</c:formatCode>
                <c:ptCount val="15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  <c:pt idx="12">
                  <c:v>157</c:v>
                </c:pt>
                <c:pt idx="13">
                  <c:v>167</c:v>
                </c:pt>
                <c:pt idx="14">
                  <c:v>142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trends'!$D$188:$R$188</c:f>
              <c:numCache>
                <c:formatCode>General</c:formatCode>
                <c:ptCount val="15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  <c:pt idx="12">
                  <c:v>15</c:v>
                </c:pt>
                <c:pt idx="13">
                  <c:v>8</c:v>
                </c:pt>
                <c:pt idx="1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trends'!$D$206:$R$206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trends'!$D$207:$R$207</c:f>
              <c:numCache>
                <c:formatCode>General</c:formatCode>
                <c:ptCount val="15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  <c:pt idx="12">
                  <c:v>37</c:v>
                </c:pt>
                <c:pt idx="13">
                  <c:v>39</c:v>
                </c:pt>
                <c:pt idx="14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trends'!$D$169:$R$169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  <c:pt idx="12">
                        <c:v>10</c:v>
                      </c:pt>
                      <c:pt idx="13">
                        <c:v>9</c:v>
                      </c:pt>
                      <c:pt idx="14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trends'!$D$170:$R$170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  <c:pt idx="12">
                        <c:v>51</c:v>
                      </c:pt>
                      <c:pt idx="13">
                        <c:v>49</c:v>
                      </c:pt>
                      <c:pt idx="14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trends'!$D$171:$R$171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  <c:pt idx="12">
                        <c:v>4</c:v>
                      </c:pt>
                      <c:pt idx="13">
                        <c:v>9</c:v>
                      </c:pt>
                      <c:pt idx="14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trends'!$D$173:$R$173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  <c:pt idx="12">
                        <c:v>52</c:v>
                      </c:pt>
                      <c:pt idx="13">
                        <c:v>49</c:v>
                      </c:pt>
                      <c:pt idx="14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trends'!$D$175:$R$175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  <c:pt idx="12">
                        <c:v>192</c:v>
                      </c:pt>
                      <c:pt idx="13">
                        <c:v>170</c:v>
                      </c:pt>
                      <c:pt idx="14">
                        <c:v>180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trends'!$D$176:$R$176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  <c:pt idx="12">
                        <c:v>10</c:v>
                      </c:pt>
                      <c:pt idx="13">
                        <c:v>11</c:v>
                      </c:pt>
                      <c:pt idx="14">
                        <c:v>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trends'!$D$177:$R$177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trends'!$D$178:$R$178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  <c:pt idx="12">
                        <c:v>82</c:v>
                      </c:pt>
                      <c:pt idx="13">
                        <c:v>90</c:v>
                      </c:pt>
                      <c:pt idx="14">
                        <c:v>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trends'!$D$179:$R$179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  <c:pt idx="12">
                        <c:v>33</c:v>
                      </c:pt>
                      <c:pt idx="13">
                        <c:v>32</c:v>
                      </c:pt>
                      <c:pt idx="14">
                        <c:v>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trends'!$D$180:$R$180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38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trends'!$D$181:$R$181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  <c:pt idx="12">
                        <c:v>14</c:v>
                      </c:pt>
                      <c:pt idx="13">
                        <c:v>12</c:v>
                      </c:pt>
                      <c:pt idx="14">
                        <c:v>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trends'!$D$182:$R$182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  <c:pt idx="12">
                        <c:v>154</c:v>
                      </c:pt>
                      <c:pt idx="13">
                        <c:v>168</c:v>
                      </c:pt>
                      <c:pt idx="14">
                        <c:v>163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trends'!$D$183:$R$183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trends'!$D$184:$R$184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trends'!$D$185:$R$185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trends'!$D$186:$R$186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  <c:pt idx="12">
                        <c:v>2</c:v>
                      </c:pt>
                      <c:pt idx="13">
                        <c:v>6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trends'!$D$187:$R$187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  <c:pt idx="12">
                        <c:v>44</c:v>
                      </c:pt>
                      <c:pt idx="13">
                        <c:v>42</c:v>
                      </c:pt>
                      <c:pt idx="14">
                        <c:v>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trends'!$D$189:$R$189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  <c:pt idx="12">
                        <c:v>13</c:v>
                      </c:pt>
                      <c:pt idx="13">
                        <c:v>9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trends'!$D$190:$R$190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  <c:pt idx="12">
                        <c:v>3</c:v>
                      </c:pt>
                      <c:pt idx="13">
                        <c:v>3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trends'!$D$191:$R$191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  <c:pt idx="12">
                        <c:v>35</c:v>
                      </c:pt>
                      <c:pt idx="13">
                        <c:v>33</c:v>
                      </c:pt>
                      <c:pt idx="14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trends'!$D$192:$R$192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  <c:pt idx="12">
                        <c:v>67</c:v>
                      </c:pt>
                      <c:pt idx="13">
                        <c:v>76</c:v>
                      </c:pt>
                      <c:pt idx="14">
                        <c:v>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trends'!$D$193:$R$193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  <c:pt idx="12">
                        <c:v>99</c:v>
                      </c:pt>
                      <c:pt idx="13">
                        <c:v>83</c:v>
                      </c:pt>
                      <c:pt idx="14">
                        <c:v>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trends'!$D$194:$R$194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  <c:pt idx="12">
                        <c:v>19</c:v>
                      </c:pt>
                      <c:pt idx="13">
                        <c:v>22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trends'!$D$195:$R$195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  <c:pt idx="12">
                        <c:v>62</c:v>
                      </c:pt>
                      <c:pt idx="13">
                        <c:v>65</c:v>
                      </c:pt>
                      <c:pt idx="14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trends'!$D$196:$R$196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7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trends'!$D$197:$R$197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  <c:pt idx="12">
                        <c:v>52</c:v>
                      </c:pt>
                      <c:pt idx="13">
                        <c:v>43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trends'!$D$198:$R$198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  <c:pt idx="12">
                        <c:v>46</c:v>
                      </c:pt>
                      <c:pt idx="13">
                        <c:v>35</c:v>
                      </c:pt>
                      <c:pt idx="14">
                        <c:v>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trends'!$D$199:$R$199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  <c:pt idx="12">
                        <c:v>3</c:v>
                      </c:pt>
                      <c:pt idx="13">
                        <c:v>2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trends'!$D$200:$R$200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  <c:pt idx="12">
                        <c:v>45</c:v>
                      </c:pt>
                      <c:pt idx="13">
                        <c:v>55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trends'!$D$201:$R$201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  <c:pt idx="12">
                        <c:v>24</c:v>
                      </c:pt>
                      <c:pt idx="13">
                        <c:v>12</c:v>
                      </c:pt>
                      <c:pt idx="14">
                        <c:v>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trends'!$D$202:$R$202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  <c:pt idx="12">
                        <c:v>30</c:v>
                      </c:pt>
                      <c:pt idx="13">
                        <c:v>39</c:v>
                      </c:pt>
                      <c:pt idx="14">
                        <c:v>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trends'!$D$203:$R$203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  <c:pt idx="12">
                        <c:v>50</c:v>
                      </c:pt>
                      <c:pt idx="13">
                        <c:v>53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trends'!$D$204:$R$204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  <c:pt idx="12">
                        <c:v>61</c:v>
                      </c:pt>
                      <c:pt idx="13">
                        <c:v>52</c:v>
                      </c:pt>
                      <c:pt idx="14">
                        <c:v>60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trends'!$D$205:$R$205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  <c:pt idx="12">
                        <c:v>139</c:v>
                      </c:pt>
                      <c:pt idx="13">
                        <c:v>132</c:v>
                      </c:pt>
                      <c:pt idx="14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trends'!$D$208:$R$208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  <c:pt idx="12">
                        <c:v>7</c:v>
                      </c:pt>
                      <c:pt idx="13">
                        <c:v>8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trends'!$D$209:$R$209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5</c:v>
                      </c:pt>
                      <c:pt idx="14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trends'!$D$210:$R$210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trends'!$D$211:$R$211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  <c:pt idx="12">
                        <c:v>13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trends'!$D$212:$R$212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8</c:v>
                      </c:pt>
                      <c:pt idx="12">
                        <c:v>12</c:v>
                      </c:pt>
                      <c:pt idx="13">
                        <c:v>10</c:v>
                      </c:pt>
                      <c:pt idx="14">
                        <c:v>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trends'!$D$213:$R$213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  <c:pt idx="12">
                        <c:v>10</c:v>
                      </c:pt>
                      <c:pt idx="13">
                        <c:v>2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trends'!$D$214:$R$214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139</c:v>
                      </c:pt>
                      <c:pt idx="12">
                        <c:v>182</c:v>
                      </c:pt>
                      <c:pt idx="13">
                        <c:v>193</c:v>
                      </c:pt>
                      <c:pt idx="14">
                        <c:v>198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trends'!$D$215:$R$215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  <c:pt idx="12">
                        <c:v>48</c:v>
                      </c:pt>
                      <c:pt idx="13">
                        <c:v>49</c:v>
                      </c:pt>
                      <c:pt idx="14">
                        <c:v>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trends'!$D$216:$R$216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  <c:pt idx="12">
                        <c:v>6</c:v>
                      </c:pt>
                      <c:pt idx="13">
                        <c:v>6</c:v>
                      </c:pt>
                      <c:pt idx="14">
                        <c:v>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trends'!$D$217:$R$217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trends'!$D$218:$R$218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trends'!$D$219:$R$219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trends'!$D$220:$R$220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trends'!$D$221:$R$221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50</c:v>
                      </c:pt>
                      <c:pt idx="14">
                        <c:v>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trends'!$D$222:$R$222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  <c:pt idx="12">
                        <c:v>157</c:v>
                      </c:pt>
                      <c:pt idx="13">
                        <c:v>167</c:v>
                      </c:pt>
                      <c:pt idx="14">
                        <c:v>191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144315</xdr:colOff>
      <xdr:row>6</xdr:row>
      <xdr:rowOff>177606</xdr:rowOff>
    </xdr:from>
    <xdr:to>
      <xdr:col>32</xdr:col>
      <xdr:colOff>248227</xdr:colOff>
      <xdr:row>210</xdr:row>
      <xdr:rowOff>42526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4" t="s">
        <v>3</v>
      </c>
      <c r="F2" s="114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5"/>
      <c r="F3" s="133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6"/>
      <c r="F4" s="116"/>
    </row>
    <row r="5" spans="2:6" ht="18" thickBot="1" x14ac:dyDescent="0.25">
      <c r="B5" s="28" t="s">
        <v>5</v>
      </c>
      <c r="C5" s="22" t="s">
        <v>10</v>
      </c>
      <c r="D5" s="23"/>
      <c r="E5" s="187"/>
      <c r="F5" s="117"/>
    </row>
    <row r="6" spans="2:6" ht="18" thickBot="1" x14ac:dyDescent="0.25">
      <c r="B6" s="103" t="s">
        <v>11</v>
      </c>
      <c r="C6" s="22" t="s">
        <v>12</v>
      </c>
      <c r="D6" s="22" t="s">
        <v>13</v>
      </c>
      <c r="E6" s="131" t="s">
        <v>14</v>
      </c>
      <c r="F6" s="132" t="s">
        <v>8</v>
      </c>
    </row>
    <row r="7" spans="2:6" ht="18" thickBot="1" x14ac:dyDescent="0.25">
      <c r="B7" s="20"/>
      <c r="C7" s="22" t="s">
        <v>6</v>
      </c>
      <c r="D7" s="22">
        <v>2023</v>
      </c>
      <c r="E7" s="123"/>
      <c r="F7" s="122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3" t="s">
        <v>19</v>
      </c>
      <c r="F8" s="118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3"/>
      <c r="F9" s="116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3"/>
      <c r="F10" s="116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4"/>
      <c r="F11" s="135"/>
    </row>
    <row r="12" spans="2:6" ht="35" thickBot="1" x14ac:dyDescent="0.25">
      <c r="B12" s="179" t="s">
        <v>27</v>
      </c>
      <c r="C12" s="22" t="s">
        <v>28</v>
      </c>
      <c r="D12" s="22" t="s">
        <v>18</v>
      </c>
      <c r="E12" s="123"/>
      <c r="F12" s="116" t="s">
        <v>8</v>
      </c>
    </row>
    <row r="13" spans="2:6" ht="35" thickBot="1" x14ac:dyDescent="0.25">
      <c r="B13" s="181"/>
      <c r="C13" s="22" t="s">
        <v>29</v>
      </c>
      <c r="D13" s="22" t="s">
        <v>21</v>
      </c>
      <c r="E13" s="123"/>
      <c r="F13" s="118" t="s">
        <v>8</v>
      </c>
    </row>
    <row r="14" spans="2:6" ht="18" thickBot="1" x14ac:dyDescent="0.25">
      <c r="B14" s="23" t="s">
        <v>30</v>
      </c>
      <c r="C14" s="80"/>
      <c r="D14" s="81"/>
      <c r="E14" s="136" t="s">
        <v>31</v>
      </c>
      <c r="F14" s="137"/>
    </row>
    <row r="15" spans="2:6" ht="17" x14ac:dyDescent="0.2">
      <c r="B15" s="179" t="s">
        <v>32</v>
      </c>
      <c r="C15" s="21" t="s">
        <v>6</v>
      </c>
      <c r="D15" s="179" t="s">
        <v>7</v>
      </c>
      <c r="E15" s="185"/>
      <c r="F15" s="115" t="s">
        <v>8</v>
      </c>
    </row>
    <row r="16" spans="2:6" ht="18" thickBot="1" x14ac:dyDescent="0.25">
      <c r="B16" s="181"/>
      <c r="C16" s="22" t="s">
        <v>33</v>
      </c>
      <c r="D16" s="181"/>
      <c r="E16" s="187"/>
      <c r="F16" s="117"/>
    </row>
    <row r="17" spans="2:6" ht="17" x14ac:dyDescent="0.2">
      <c r="B17" s="179" t="s">
        <v>34</v>
      </c>
      <c r="C17" s="21" t="s">
        <v>6</v>
      </c>
      <c r="D17" s="21" t="s">
        <v>7</v>
      </c>
      <c r="E17" s="185"/>
      <c r="F17" s="115"/>
    </row>
    <row r="18" spans="2:6" ht="18" thickBot="1" x14ac:dyDescent="0.25">
      <c r="B18" s="181"/>
      <c r="C18" s="80" t="s">
        <v>35</v>
      </c>
      <c r="D18" s="80" t="s">
        <v>7</v>
      </c>
      <c r="E18" s="187"/>
      <c r="F18" s="117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1" t="s">
        <v>38</v>
      </c>
      <c r="F19" s="119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0"/>
      <c r="F20" s="118" t="s">
        <v>8</v>
      </c>
    </row>
    <row r="21" spans="2:6" ht="18" thickBot="1" x14ac:dyDescent="0.25">
      <c r="B21" s="194" t="s">
        <v>41</v>
      </c>
      <c r="C21" s="22" t="s">
        <v>42</v>
      </c>
      <c r="D21" s="22"/>
      <c r="E21" s="121" t="s">
        <v>43</v>
      </c>
      <c r="F21" s="118" t="s">
        <v>8</v>
      </c>
    </row>
    <row r="22" spans="2:6" ht="35" thickBot="1" x14ac:dyDescent="0.25">
      <c r="B22" s="195"/>
      <c r="C22" s="22" t="s">
        <v>44</v>
      </c>
      <c r="D22" s="22" t="s">
        <v>18</v>
      </c>
      <c r="E22" s="119" t="s">
        <v>45</v>
      </c>
      <c r="F22" s="119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0"/>
      <c r="F23" s="118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0"/>
      <c r="F24" s="118"/>
    </row>
    <row r="25" spans="2:6" ht="35" thickBot="1" x14ac:dyDescent="0.25">
      <c r="B25" s="23" t="s">
        <v>49</v>
      </c>
      <c r="C25" s="22" t="s">
        <v>50</v>
      </c>
      <c r="D25" s="22"/>
      <c r="E25" s="121" t="s">
        <v>51</v>
      </c>
      <c r="F25" s="119"/>
    </row>
    <row r="26" spans="2:6" ht="35" thickBot="1" x14ac:dyDescent="0.25">
      <c r="B26" s="141" t="s">
        <v>52</v>
      </c>
      <c r="C26" s="80" t="s">
        <v>53</v>
      </c>
      <c r="D26" s="80"/>
      <c r="E26" s="142" t="s">
        <v>54</v>
      </c>
      <c r="F26" s="143"/>
    </row>
    <row r="27" spans="2:6" ht="17" x14ac:dyDescent="0.2">
      <c r="B27" s="28" t="s">
        <v>55</v>
      </c>
      <c r="C27" s="21" t="s">
        <v>6</v>
      </c>
      <c r="D27" s="21" t="s">
        <v>7</v>
      </c>
      <c r="E27" s="188"/>
      <c r="F27" s="115"/>
    </row>
    <row r="28" spans="2:6" ht="17" x14ac:dyDescent="0.2">
      <c r="B28" s="20"/>
      <c r="C28" s="21" t="s">
        <v>56</v>
      </c>
      <c r="D28" s="21" t="s">
        <v>57</v>
      </c>
      <c r="E28" s="189"/>
      <c r="F28" s="116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90"/>
      <c r="F29" s="117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0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91" t="s">
        <v>64</v>
      </c>
      <c r="C32" s="192"/>
      <c r="D32" s="192"/>
      <c r="E32" s="193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9" t="s">
        <v>68</v>
      </c>
      <c r="C34" s="21" t="s">
        <v>69</v>
      </c>
      <c r="D34" s="179" t="s">
        <v>70</v>
      </c>
      <c r="E34" s="182"/>
      <c r="F34" s="51"/>
    </row>
    <row r="35" spans="2:6" ht="17" x14ac:dyDescent="0.2">
      <c r="B35" s="180"/>
      <c r="C35" s="21" t="s">
        <v>71</v>
      </c>
      <c r="D35" s="180"/>
      <c r="E35" s="183"/>
      <c r="F35" s="51"/>
    </row>
    <row r="36" spans="2:6" ht="18" thickBot="1" x14ac:dyDescent="0.25">
      <c r="B36" s="181"/>
      <c r="C36" s="22" t="s">
        <v>72</v>
      </c>
      <c r="D36" s="181"/>
      <c r="E36" s="184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tabSelected="1"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7" t="s">
        <v>91</v>
      </c>
      <c r="C7" s="157" t="s">
        <v>92</v>
      </c>
      <c r="D7" s="157" t="s">
        <v>93</v>
      </c>
    </row>
    <row r="8" spans="2:5" ht="17" x14ac:dyDescent="0.2">
      <c r="B8" s="158" t="s">
        <v>94</v>
      </c>
      <c r="C8" s="97">
        <v>3823.85207557678</v>
      </c>
      <c r="D8" s="102">
        <v>2.99892817402528E-2</v>
      </c>
    </row>
    <row r="9" spans="2:5" ht="17" x14ac:dyDescent="0.2">
      <c r="B9" s="158" t="s">
        <v>95</v>
      </c>
      <c r="C9" s="97">
        <v>15860.7464766502</v>
      </c>
      <c r="D9" s="102">
        <v>0.12439089831351299</v>
      </c>
    </row>
    <row r="10" spans="2:5" ht="34" x14ac:dyDescent="0.2">
      <c r="B10" s="158" t="s">
        <v>96</v>
      </c>
      <c r="C10" s="97">
        <v>48412.370315551801</v>
      </c>
      <c r="D10" s="102">
        <v>0.37968315311662199</v>
      </c>
    </row>
    <row r="11" spans="2:5" ht="17" x14ac:dyDescent="0.2">
      <c r="B11" s="158" t="s">
        <v>97</v>
      </c>
      <c r="C11" s="97">
        <v>7884.5241913795498</v>
      </c>
      <c r="D11" s="102">
        <v>6.1835869351053299E-2</v>
      </c>
      <c r="E11" s="148"/>
    </row>
    <row r="12" spans="2:5" ht="17" x14ac:dyDescent="0.2">
      <c r="B12" s="158" t="s">
        <v>98</v>
      </c>
      <c r="C12" s="97">
        <v>51466.912614822402</v>
      </c>
      <c r="D12" s="102">
        <v>0.40363897771177998</v>
      </c>
    </row>
    <row r="13" spans="2:5" ht="17" x14ac:dyDescent="0.2">
      <c r="B13" s="158" t="s">
        <v>99</v>
      </c>
      <c r="C13" s="97">
        <v>58.885387420654297</v>
      </c>
      <c r="D13" s="102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4" t="s">
        <v>103</v>
      </c>
      <c r="C7" s="145" t="s">
        <v>104</v>
      </c>
      <c r="D7" s="145" t="s">
        <v>105</v>
      </c>
      <c r="E7" s="145" t="s">
        <v>106</v>
      </c>
    </row>
    <row r="8" spans="2:5" x14ac:dyDescent="0.2">
      <c r="B8" s="138" t="s">
        <v>107</v>
      </c>
      <c r="C8" s="146">
        <v>489660.488179359</v>
      </c>
      <c r="D8" s="146">
        <v>166</v>
      </c>
      <c r="E8" s="147">
        <v>0.221178894114376</v>
      </c>
    </row>
    <row r="9" spans="2:5" x14ac:dyDescent="0.2">
      <c r="B9" s="138" t="s">
        <v>108</v>
      </c>
      <c r="C9" s="146">
        <v>1724205.758598</v>
      </c>
      <c r="D9" s="146">
        <v>645</v>
      </c>
      <c r="E9" s="147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J59" sqref="J59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3" t="s">
        <v>111</v>
      </c>
      <c r="C8" s="94" t="s">
        <v>112</v>
      </c>
      <c r="D8" s="94" t="s">
        <v>113</v>
      </c>
      <c r="E8" s="94" t="s">
        <v>114</v>
      </c>
    </row>
    <row r="9" spans="2:5" x14ac:dyDescent="0.2">
      <c r="B9" s="91">
        <v>2008</v>
      </c>
      <c r="C9" s="152">
        <v>0.52942466844196701</v>
      </c>
      <c r="D9" s="152">
        <v>0.25530840178376801</v>
      </c>
      <c r="E9" s="152">
        <v>0.21526692977426501</v>
      </c>
    </row>
    <row r="10" spans="2:5" x14ac:dyDescent="0.2">
      <c r="B10" s="91">
        <v>2009</v>
      </c>
      <c r="C10" s="152">
        <v>0.53455103881893395</v>
      </c>
      <c r="D10" s="152">
        <v>0.234982210029616</v>
      </c>
      <c r="E10" s="152">
        <v>0.23046675115144899</v>
      </c>
    </row>
    <row r="11" spans="2:5" x14ac:dyDescent="0.2">
      <c r="B11" s="91">
        <v>2010</v>
      </c>
      <c r="C11" s="152">
        <v>0.50699279440617795</v>
      </c>
      <c r="D11" s="152">
        <v>0.23929539738421801</v>
      </c>
      <c r="E11" s="152">
        <v>0.25371180820960398</v>
      </c>
    </row>
    <row r="12" spans="2:5" x14ac:dyDescent="0.2">
      <c r="B12" s="91">
        <v>2011</v>
      </c>
      <c r="C12" s="152">
        <v>0.49234645304137797</v>
      </c>
      <c r="D12" s="152">
        <v>0.247151909185582</v>
      </c>
      <c r="E12" s="152">
        <v>0.26050163777303997</v>
      </c>
    </row>
    <row r="13" spans="2:5" x14ac:dyDescent="0.2">
      <c r="B13" s="91">
        <v>2012</v>
      </c>
      <c r="C13" s="152">
        <v>0.506981772213288</v>
      </c>
      <c r="D13" s="152">
        <v>0.25158256792591399</v>
      </c>
      <c r="E13" s="152">
        <v>0.24143565986079801</v>
      </c>
    </row>
    <row r="14" spans="2:5" x14ac:dyDescent="0.2">
      <c r="B14" s="91">
        <v>2013</v>
      </c>
      <c r="C14" s="92">
        <v>0.481546667939588</v>
      </c>
      <c r="D14" s="92">
        <v>0.222698674325916</v>
      </c>
      <c r="E14" s="92">
        <v>0.295754657734496</v>
      </c>
    </row>
    <row r="15" spans="2:5" x14ac:dyDescent="0.2">
      <c r="B15" s="91">
        <v>2014</v>
      </c>
      <c r="C15" s="92">
        <v>0.495368383428683</v>
      </c>
      <c r="D15" s="92">
        <v>0.23263325142337399</v>
      </c>
      <c r="E15" s="92">
        <v>0.27199836514794401</v>
      </c>
    </row>
    <row r="16" spans="2:5" x14ac:dyDescent="0.2">
      <c r="B16" s="91">
        <v>2015</v>
      </c>
      <c r="C16" s="92">
        <v>0.49383817609487501</v>
      </c>
      <c r="D16" s="92">
        <v>0.22516824506392799</v>
      </c>
      <c r="E16" s="92">
        <v>0.28099357884119702</v>
      </c>
    </row>
    <row r="17" spans="2:8" x14ac:dyDescent="0.2">
      <c r="B17" s="91">
        <v>2016</v>
      </c>
      <c r="C17" s="92">
        <v>0.47504079208799199</v>
      </c>
      <c r="D17" s="92">
        <v>0.22477092681824701</v>
      </c>
      <c r="E17" s="92">
        <v>0.300188281093762</v>
      </c>
    </row>
    <row r="18" spans="2:8" x14ac:dyDescent="0.2">
      <c r="B18" s="91">
        <v>2017</v>
      </c>
      <c r="C18" s="98">
        <v>0.483485856017972</v>
      </c>
      <c r="D18" s="98">
        <v>0.22659778990617499</v>
      </c>
      <c r="E18" s="92">
        <v>0.28991635407585298</v>
      </c>
    </row>
    <row r="19" spans="2:8" x14ac:dyDescent="0.2">
      <c r="B19" s="91">
        <v>2018</v>
      </c>
      <c r="C19" s="92">
        <v>0.49982047726242101</v>
      </c>
      <c r="D19" s="92">
        <v>0.22739107025845401</v>
      </c>
      <c r="E19" s="92">
        <v>0.27278845247912598</v>
      </c>
    </row>
    <row r="20" spans="2:8" x14ac:dyDescent="0.2">
      <c r="B20" s="91">
        <v>2019</v>
      </c>
      <c r="C20" s="92">
        <v>0.49603233755981602</v>
      </c>
      <c r="D20" s="92">
        <v>0.22244280301915201</v>
      </c>
      <c r="E20" s="92">
        <v>0.281524859421032</v>
      </c>
    </row>
    <row r="21" spans="2:8" x14ac:dyDescent="0.2">
      <c r="B21" s="91">
        <v>2020</v>
      </c>
      <c r="C21" s="92">
        <v>0.50724997095009505</v>
      </c>
      <c r="D21" s="92">
        <v>0.22497377183894701</v>
      </c>
      <c r="E21" s="92">
        <v>0.26777625721095799</v>
      </c>
    </row>
    <row r="22" spans="2:8" x14ac:dyDescent="0.2">
      <c r="B22" s="91">
        <v>2021</v>
      </c>
      <c r="C22" s="92">
        <v>0.48931205688269502</v>
      </c>
      <c r="D22" s="92">
        <v>0.218470504061237</v>
      </c>
      <c r="E22" s="92">
        <v>0.29221743905606801</v>
      </c>
    </row>
    <row r="23" spans="2:8" x14ac:dyDescent="0.2">
      <c r="B23" s="91">
        <v>2022</v>
      </c>
      <c r="C23" s="92">
        <v>0.48530544210722298</v>
      </c>
      <c r="D23" s="92">
        <v>0.20757637992676001</v>
      </c>
      <c r="E23" s="92">
        <v>0.30711817796601698</v>
      </c>
    </row>
    <row r="24" spans="2:8" x14ac:dyDescent="0.2">
      <c r="B24" s="91">
        <v>2023</v>
      </c>
      <c r="C24" s="92">
        <v>0.47475739458368799</v>
      </c>
      <c r="D24" s="92">
        <v>0.20764353214697501</v>
      </c>
      <c r="E24" s="92">
        <v>0.31759907326933801</v>
      </c>
      <c r="F24" s="148"/>
      <c r="G24" s="148"/>
      <c r="H24" s="148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1" t="s">
        <v>116</v>
      </c>
      <c r="C7" s="161" t="s">
        <v>117</v>
      </c>
      <c r="D7" s="161" t="s">
        <v>111</v>
      </c>
      <c r="E7" s="161" t="s">
        <v>118</v>
      </c>
      <c r="F7" s="161" t="s">
        <v>106</v>
      </c>
    </row>
    <row r="8" spans="2:6" customFormat="1" hidden="1" x14ac:dyDescent="0.2">
      <c r="B8" s="107" t="s">
        <v>119</v>
      </c>
      <c r="C8" s="107" t="s">
        <v>120</v>
      </c>
      <c r="D8" s="107">
        <v>2008</v>
      </c>
      <c r="E8" s="160">
        <v>454745.73397266801</v>
      </c>
      <c r="F8" s="159">
        <v>0.27782827625464301</v>
      </c>
    </row>
    <row r="9" spans="2:6" customFormat="1" hidden="1" x14ac:dyDescent="0.2">
      <c r="B9" s="107" t="s">
        <v>119</v>
      </c>
      <c r="C9" s="107" t="s">
        <v>120</v>
      </c>
      <c r="D9" s="107">
        <v>2009</v>
      </c>
      <c r="E9" s="160">
        <v>462662.80232207698</v>
      </c>
      <c r="F9" s="159">
        <v>0.28615190074006502</v>
      </c>
    </row>
    <row r="10" spans="2:6" customFormat="1" hidden="1" x14ac:dyDescent="0.2">
      <c r="B10" s="107" t="s">
        <v>119</v>
      </c>
      <c r="C10" s="107" t="s">
        <v>120</v>
      </c>
      <c r="D10" s="107">
        <v>2010</v>
      </c>
      <c r="E10" s="160">
        <v>449871.58962979598</v>
      </c>
      <c r="F10" s="159">
        <v>0.28065080276559201</v>
      </c>
    </row>
    <row r="11" spans="2:6" customFormat="1" hidden="1" x14ac:dyDescent="0.2">
      <c r="B11" s="107" t="s">
        <v>119</v>
      </c>
      <c r="C11" s="107" t="s">
        <v>120</v>
      </c>
      <c r="D11" s="107">
        <v>2011</v>
      </c>
      <c r="E11" s="160">
        <v>446977.38465294399</v>
      </c>
      <c r="F11" s="159">
        <v>0.29354281733877302</v>
      </c>
    </row>
    <row r="12" spans="2:6" customFormat="1" hidden="1" x14ac:dyDescent="0.2">
      <c r="B12" s="107" t="s">
        <v>119</v>
      </c>
      <c r="C12" s="107" t="s">
        <v>120</v>
      </c>
      <c r="D12" s="107">
        <v>2012</v>
      </c>
      <c r="E12" s="160">
        <v>428648.374995502</v>
      </c>
      <c r="F12" s="159">
        <v>0.26622730509399101</v>
      </c>
    </row>
    <row r="13" spans="2:6" customFormat="1" hidden="1" x14ac:dyDescent="0.2">
      <c r="B13" s="107" t="s">
        <v>119</v>
      </c>
      <c r="C13" s="107" t="s">
        <v>120</v>
      </c>
      <c r="D13" s="107">
        <v>2013</v>
      </c>
      <c r="E13" s="160">
        <v>447408.979547825</v>
      </c>
      <c r="F13" s="159">
        <v>0.27093111852452201</v>
      </c>
    </row>
    <row r="14" spans="2:6" customFormat="1" hidden="1" x14ac:dyDescent="0.2">
      <c r="B14" s="107" t="s">
        <v>119</v>
      </c>
      <c r="C14" s="107" t="s">
        <v>120</v>
      </c>
      <c r="D14" s="107">
        <v>2014</v>
      </c>
      <c r="E14" s="160">
        <v>436967.15379841201</v>
      </c>
      <c r="F14" s="159">
        <v>0.26710266001056399</v>
      </c>
    </row>
    <row r="15" spans="2:6" customFormat="1" hidden="1" x14ac:dyDescent="0.2">
      <c r="B15" s="107" t="s">
        <v>119</v>
      </c>
      <c r="C15" s="107" t="s">
        <v>120</v>
      </c>
      <c r="D15" s="107">
        <v>2015</v>
      </c>
      <c r="E15" s="160">
        <v>433457.598885593</v>
      </c>
      <c r="F15" s="159">
        <v>0.25856025072355399</v>
      </c>
    </row>
    <row r="16" spans="2:6" customFormat="1" hidden="1" x14ac:dyDescent="0.2">
      <c r="B16" s="107" t="s">
        <v>119</v>
      </c>
      <c r="C16" s="107" t="s">
        <v>120</v>
      </c>
      <c r="D16" s="107">
        <v>2016</v>
      </c>
      <c r="E16" s="160">
        <v>395272.27437643602</v>
      </c>
      <c r="F16" s="159">
        <v>0.241269092176957</v>
      </c>
    </row>
    <row r="17" spans="2:6" customFormat="1" hidden="1" x14ac:dyDescent="0.2">
      <c r="B17" s="107" t="s">
        <v>119</v>
      </c>
      <c r="C17" s="107" t="s">
        <v>120</v>
      </c>
      <c r="D17" s="107">
        <v>2017</v>
      </c>
      <c r="E17" s="160">
        <v>513000.39567927702</v>
      </c>
      <c r="F17" s="159">
        <v>0.30856031374639797</v>
      </c>
    </row>
    <row r="18" spans="2:6" customFormat="1" hidden="1" x14ac:dyDescent="0.2">
      <c r="B18" s="107" t="s">
        <v>119</v>
      </c>
      <c r="C18" s="107" t="s">
        <v>120</v>
      </c>
      <c r="D18" s="107">
        <v>2018</v>
      </c>
      <c r="E18" s="160">
        <v>557280.251698212</v>
      </c>
      <c r="F18" s="159">
        <v>0.31676654566696499</v>
      </c>
    </row>
    <row r="19" spans="2:6" customFormat="1" hidden="1" x14ac:dyDescent="0.2">
      <c r="B19" s="107" t="s">
        <v>119</v>
      </c>
      <c r="C19" s="107" t="s">
        <v>120</v>
      </c>
      <c r="D19" s="107">
        <v>2019</v>
      </c>
      <c r="E19" s="160">
        <v>473117.20977893798</v>
      </c>
      <c r="F19" s="159">
        <v>0.27021100634508399</v>
      </c>
    </row>
    <row r="20" spans="2:6" customFormat="1" hidden="1" x14ac:dyDescent="0.2">
      <c r="B20" s="107" t="s">
        <v>119</v>
      </c>
      <c r="C20" s="107" t="s">
        <v>120</v>
      </c>
      <c r="D20" s="107">
        <v>2020</v>
      </c>
      <c r="E20" s="160">
        <v>426310.93348012498</v>
      </c>
      <c r="F20" s="159">
        <v>0.236991405395651</v>
      </c>
    </row>
    <row r="21" spans="2:6" customFormat="1" hidden="1" x14ac:dyDescent="0.2">
      <c r="B21" s="107" t="s">
        <v>119</v>
      </c>
      <c r="C21" s="107" t="s">
        <v>120</v>
      </c>
      <c r="D21" s="107">
        <v>2021</v>
      </c>
      <c r="E21" s="160">
        <v>508247.757032272</v>
      </c>
      <c r="F21" s="159">
        <v>0.281477516868606</v>
      </c>
    </row>
    <row r="22" spans="2:6" customFormat="1" hidden="1" x14ac:dyDescent="0.2">
      <c r="B22" s="107" t="s">
        <v>119</v>
      </c>
      <c r="C22" s="107" t="s">
        <v>120</v>
      </c>
      <c r="D22" s="107">
        <v>2022</v>
      </c>
      <c r="E22" s="160">
        <v>451139.65921133</v>
      </c>
      <c r="F22" s="159">
        <v>0.24993669600876101</v>
      </c>
    </row>
    <row r="23" spans="2:6" customFormat="1" hidden="1" x14ac:dyDescent="0.2">
      <c r="B23" s="107" t="s">
        <v>119</v>
      </c>
      <c r="C23" s="107" t="s">
        <v>120</v>
      </c>
      <c r="D23" s="107">
        <v>2023</v>
      </c>
      <c r="E23" s="160">
        <v>420132.08169038501</v>
      </c>
      <c r="F23" s="159">
        <v>0.23541450287096599</v>
      </c>
    </row>
    <row r="24" spans="2:6" x14ac:dyDescent="0.2">
      <c r="B24" s="96" t="s">
        <v>119</v>
      </c>
      <c r="C24" s="96" t="s">
        <v>121</v>
      </c>
      <c r="D24" s="96">
        <v>2008</v>
      </c>
      <c r="E24" s="97">
        <v>182845.96563157201</v>
      </c>
      <c r="F24" s="102">
        <v>0.274738833355471</v>
      </c>
    </row>
    <row r="25" spans="2:6" x14ac:dyDescent="0.2">
      <c r="B25" s="96" t="s">
        <v>119</v>
      </c>
      <c r="C25" s="96" t="s">
        <v>121</v>
      </c>
      <c r="D25" s="96">
        <v>2009</v>
      </c>
      <c r="E25" s="97">
        <v>217480.18757013301</v>
      </c>
      <c r="F25" s="102">
        <v>0.31198423429182298</v>
      </c>
    </row>
    <row r="26" spans="2:6" x14ac:dyDescent="0.2">
      <c r="B26" s="96" t="s">
        <v>119</v>
      </c>
      <c r="C26" s="96" t="s">
        <v>121</v>
      </c>
      <c r="D26" s="96">
        <v>2010</v>
      </c>
      <c r="E26" s="97">
        <v>210258.66380792999</v>
      </c>
      <c r="F26" s="102">
        <v>0.26211551486860801</v>
      </c>
    </row>
    <row r="27" spans="2:6" x14ac:dyDescent="0.2">
      <c r="B27" s="96" t="s">
        <v>119</v>
      </c>
      <c r="C27" s="96" t="s">
        <v>121</v>
      </c>
      <c r="D27" s="96">
        <v>2011</v>
      </c>
      <c r="E27" s="97">
        <v>270478.41168860998</v>
      </c>
      <c r="F27" s="102">
        <v>0.335721280610491</v>
      </c>
    </row>
    <row r="28" spans="2:6" x14ac:dyDescent="0.2">
      <c r="B28" s="96" t="s">
        <v>119</v>
      </c>
      <c r="C28" s="96" t="s">
        <v>121</v>
      </c>
      <c r="D28" s="96">
        <v>2012</v>
      </c>
      <c r="E28" s="97">
        <v>278600.94208297197</v>
      </c>
      <c r="F28" s="102">
        <v>0.36334979937281298</v>
      </c>
    </row>
    <row r="29" spans="2:6" x14ac:dyDescent="0.2">
      <c r="B29" s="96" t="s">
        <v>119</v>
      </c>
      <c r="C29" s="96" t="s">
        <v>121</v>
      </c>
      <c r="D29" s="96">
        <v>2013</v>
      </c>
      <c r="E29" s="97">
        <v>311714.61229168001</v>
      </c>
      <c r="F29" s="102">
        <v>0.307339332863311</v>
      </c>
    </row>
    <row r="30" spans="2:6" x14ac:dyDescent="0.2">
      <c r="B30" s="96" t="s">
        <v>119</v>
      </c>
      <c r="C30" s="96" t="s">
        <v>121</v>
      </c>
      <c r="D30" s="96">
        <v>2014</v>
      </c>
      <c r="E30" s="97">
        <v>262925.651507014</v>
      </c>
      <c r="F30" s="102">
        <v>0.29270111025608803</v>
      </c>
    </row>
    <row r="31" spans="2:6" x14ac:dyDescent="0.2">
      <c r="B31" s="96" t="s">
        <v>119</v>
      </c>
      <c r="C31" s="96" t="s">
        <v>121</v>
      </c>
      <c r="D31" s="96">
        <v>2015</v>
      </c>
      <c r="E31" s="97">
        <v>324860.08269805298</v>
      </c>
      <c r="F31" s="102">
        <v>0.34056479676114398</v>
      </c>
    </row>
    <row r="32" spans="2:6" x14ac:dyDescent="0.2">
      <c r="B32" s="96" t="s">
        <v>119</v>
      </c>
      <c r="C32" s="96" t="s">
        <v>121</v>
      </c>
      <c r="D32" s="96">
        <v>2016</v>
      </c>
      <c r="E32" s="97">
        <v>352809.49775427702</v>
      </c>
      <c r="F32" s="102">
        <v>0.34078680886137902</v>
      </c>
    </row>
    <row r="33" spans="2:6" x14ac:dyDescent="0.2">
      <c r="B33" s="96" t="s">
        <v>119</v>
      </c>
      <c r="C33" s="96" t="s">
        <v>121</v>
      </c>
      <c r="D33" s="96">
        <v>2017</v>
      </c>
      <c r="E33" s="97">
        <v>313152.643696771</v>
      </c>
      <c r="F33" s="102">
        <v>0.314115602639504</v>
      </c>
    </row>
    <row r="34" spans="2:6" x14ac:dyDescent="0.2">
      <c r="B34" s="96" t="s">
        <v>119</v>
      </c>
      <c r="C34" s="96" t="s">
        <v>121</v>
      </c>
      <c r="D34" s="96">
        <v>2018</v>
      </c>
      <c r="E34" s="97">
        <v>350482.55907903501</v>
      </c>
      <c r="F34" s="102">
        <v>0.36502291536583997</v>
      </c>
    </row>
    <row r="35" spans="2:6" x14ac:dyDescent="0.2">
      <c r="B35" s="96" t="s">
        <v>119</v>
      </c>
      <c r="C35" s="96" t="s">
        <v>121</v>
      </c>
      <c r="D35" s="96">
        <v>2019</v>
      </c>
      <c r="E35" s="97">
        <v>361047.31111577601</v>
      </c>
      <c r="F35" s="102">
        <v>0.36332195614224699</v>
      </c>
    </row>
    <row r="36" spans="2:6" x14ac:dyDescent="0.2">
      <c r="B36" s="96" t="s">
        <v>119</v>
      </c>
      <c r="C36" s="96" t="s">
        <v>121</v>
      </c>
      <c r="D36" s="96">
        <v>2020</v>
      </c>
      <c r="E36" s="97">
        <v>343362.57341307099</v>
      </c>
      <c r="F36" s="102">
        <v>0.36158386647615698</v>
      </c>
    </row>
    <row r="37" spans="2:6" x14ac:dyDescent="0.2">
      <c r="B37" s="96" t="s">
        <v>119</v>
      </c>
      <c r="C37" s="96" t="s">
        <v>121</v>
      </c>
      <c r="D37" s="96">
        <v>2021</v>
      </c>
      <c r="E37" s="97">
        <v>325775.35652115801</v>
      </c>
      <c r="F37" s="102">
        <v>0.30211080347713098</v>
      </c>
    </row>
    <row r="38" spans="2:6" x14ac:dyDescent="0.2">
      <c r="B38" s="96" t="s">
        <v>119</v>
      </c>
      <c r="C38" s="96" t="s">
        <v>121</v>
      </c>
      <c r="D38" s="96">
        <v>2022</v>
      </c>
      <c r="E38" s="97">
        <v>294385.80523677199</v>
      </c>
      <c r="F38" s="102">
        <v>0.25771845635083102</v>
      </c>
    </row>
    <row r="39" spans="2:6" x14ac:dyDescent="0.2">
      <c r="B39" s="96" t="s">
        <v>119</v>
      </c>
      <c r="C39" s="96" t="s">
        <v>121</v>
      </c>
      <c r="D39" s="96">
        <v>2023</v>
      </c>
      <c r="E39" s="97">
        <v>367043.868880414</v>
      </c>
      <c r="F39" s="102">
        <v>0.30743821765330598</v>
      </c>
    </row>
    <row r="40" spans="2:6" customFormat="1" hidden="1" x14ac:dyDescent="0.2">
      <c r="B40" s="107" t="s">
        <v>119</v>
      </c>
      <c r="C40" s="107" t="s">
        <v>122</v>
      </c>
      <c r="D40" s="107">
        <v>2008</v>
      </c>
      <c r="E40" s="107">
        <v>331378.63822414097</v>
      </c>
      <c r="F40" s="159">
        <v>0.41982798650703801</v>
      </c>
    </row>
    <row r="41" spans="2:6" customFormat="1" hidden="1" x14ac:dyDescent="0.2">
      <c r="B41" s="107" t="s">
        <v>119</v>
      </c>
      <c r="C41" s="107" t="s">
        <v>122</v>
      </c>
      <c r="D41" s="107">
        <v>2009</v>
      </c>
      <c r="E41" s="107">
        <v>300637.251035614</v>
      </c>
      <c r="F41" s="159">
        <v>0.42298896393076801</v>
      </c>
    </row>
    <row r="42" spans="2:6" customFormat="1" hidden="1" x14ac:dyDescent="0.2">
      <c r="B42" s="107" t="s">
        <v>119</v>
      </c>
      <c r="C42" s="107" t="s">
        <v>122</v>
      </c>
      <c r="D42" s="107">
        <v>2010</v>
      </c>
      <c r="E42" s="107">
        <v>283512.10228538798</v>
      </c>
      <c r="F42" s="159">
        <v>0.37472853509182702</v>
      </c>
    </row>
    <row r="43" spans="2:6" customFormat="1" hidden="1" x14ac:dyDescent="0.2">
      <c r="B43" s="107" t="s">
        <v>119</v>
      </c>
      <c r="C43" s="107" t="s">
        <v>122</v>
      </c>
      <c r="D43" s="107">
        <v>2011</v>
      </c>
      <c r="E43" s="107">
        <v>272599.80701974302</v>
      </c>
      <c r="F43" s="159">
        <v>0.35663034692787898</v>
      </c>
    </row>
    <row r="44" spans="2:6" customFormat="1" hidden="1" x14ac:dyDescent="0.2">
      <c r="B44" s="107" t="s">
        <v>119</v>
      </c>
      <c r="C44" s="107" t="s">
        <v>122</v>
      </c>
      <c r="D44" s="107">
        <v>2012</v>
      </c>
      <c r="E44" s="107">
        <v>283268.65050506598</v>
      </c>
      <c r="F44" s="159">
        <v>0.35453713219230298</v>
      </c>
    </row>
    <row r="45" spans="2:6" customFormat="1" hidden="1" x14ac:dyDescent="0.2">
      <c r="B45" s="107" t="s">
        <v>119</v>
      </c>
      <c r="C45" s="107" t="s">
        <v>122</v>
      </c>
      <c r="D45" s="107">
        <v>2013</v>
      </c>
      <c r="E45" s="107">
        <v>303383.09837695898</v>
      </c>
      <c r="F45" s="159">
        <v>0.39725221411633499</v>
      </c>
    </row>
    <row r="46" spans="2:6" customFormat="1" hidden="1" x14ac:dyDescent="0.2">
      <c r="B46" s="107" t="s">
        <v>119</v>
      </c>
      <c r="C46" s="107" t="s">
        <v>122</v>
      </c>
      <c r="D46" s="107">
        <v>2014</v>
      </c>
      <c r="E46" s="107">
        <v>285633.43350907898</v>
      </c>
      <c r="F46" s="159">
        <v>0.371787645846065</v>
      </c>
    </row>
    <row r="47" spans="2:6" customFormat="1" hidden="1" x14ac:dyDescent="0.2">
      <c r="B47" s="107" t="s">
        <v>119</v>
      </c>
      <c r="C47" s="107" t="s">
        <v>122</v>
      </c>
      <c r="D47" s="107">
        <v>2015</v>
      </c>
      <c r="E47" s="107">
        <v>267294.941789373</v>
      </c>
      <c r="F47" s="159">
        <v>0.34969014782943703</v>
      </c>
    </row>
    <row r="48" spans="2:6" customFormat="1" hidden="1" x14ac:dyDescent="0.2">
      <c r="B48" s="107" t="s">
        <v>119</v>
      </c>
      <c r="C48" s="107" t="s">
        <v>122</v>
      </c>
      <c r="D48" s="107">
        <v>2016</v>
      </c>
      <c r="E48" s="107">
        <v>279204.26013800502</v>
      </c>
      <c r="F48" s="159">
        <v>0.36017879934579899</v>
      </c>
    </row>
    <row r="49" spans="2:6" customFormat="1" hidden="1" x14ac:dyDescent="0.2">
      <c r="B49" s="107" t="s">
        <v>119</v>
      </c>
      <c r="C49" s="107" t="s">
        <v>122</v>
      </c>
      <c r="D49" s="107">
        <v>2017</v>
      </c>
      <c r="E49" s="107">
        <v>250970.59838983399</v>
      </c>
      <c r="F49" s="159">
        <v>0.32208708989646201</v>
      </c>
    </row>
    <row r="50" spans="2:6" customFormat="1" hidden="1" x14ac:dyDescent="0.2">
      <c r="B50" s="107" t="s">
        <v>119</v>
      </c>
      <c r="C50" s="107" t="s">
        <v>122</v>
      </c>
      <c r="D50" s="107">
        <v>2018</v>
      </c>
      <c r="E50" s="107">
        <v>280010.22062222799</v>
      </c>
      <c r="F50" s="159">
        <v>0.34984863055962501</v>
      </c>
    </row>
    <row r="51" spans="2:6" customFormat="1" hidden="1" x14ac:dyDescent="0.2">
      <c r="B51" s="107" t="s">
        <v>119</v>
      </c>
      <c r="C51" s="107" t="s">
        <v>122</v>
      </c>
      <c r="D51" s="107">
        <v>2019</v>
      </c>
      <c r="E51" s="107">
        <v>274796.72556244099</v>
      </c>
      <c r="F51" s="159">
        <v>0.34997536369045001</v>
      </c>
    </row>
    <row r="52" spans="2:6" customFormat="1" hidden="1" x14ac:dyDescent="0.2">
      <c r="B52" s="107" t="s">
        <v>119</v>
      </c>
      <c r="C52" s="107" t="s">
        <v>122</v>
      </c>
      <c r="D52" s="107">
        <v>2020</v>
      </c>
      <c r="E52" s="107">
        <v>246215.683758275</v>
      </c>
      <c r="F52" s="159">
        <v>0.30861141108006601</v>
      </c>
    </row>
    <row r="53" spans="2:6" customFormat="1" hidden="1" x14ac:dyDescent="0.2">
      <c r="B53" s="107" t="s">
        <v>119</v>
      </c>
      <c r="C53" s="107" t="s">
        <v>122</v>
      </c>
      <c r="D53" s="107">
        <v>2021</v>
      </c>
      <c r="E53" s="107">
        <v>243719.65489365999</v>
      </c>
      <c r="F53" s="159">
        <v>0.30230957401937197</v>
      </c>
    </row>
    <row r="54" spans="2:6" customFormat="1" hidden="1" x14ac:dyDescent="0.2">
      <c r="B54" s="107" t="s">
        <v>119</v>
      </c>
      <c r="C54" s="107" t="s">
        <v>122</v>
      </c>
      <c r="D54" s="107">
        <v>2022</v>
      </c>
      <c r="E54" s="107">
        <v>212414.95066761601</v>
      </c>
      <c r="F54" s="159">
        <v>0.27513213989992003</v>
      </c>
    </row>
    <row r="55" spans="2:6" customFormat="1" hidden="1" x14ac:dyDescent="0.2">
      <c r="B55" s="107" t="s">
        <v>119</v>
      </c>
      <c r="C55" s="107" t="s">
        <v>122</v>
      </c>
      <c r="D55" s="107">
        <v>2023</v>
      </c>
      <c r="E55" s="107">
        <v>208785.47120465201</v>
      </c>
      <c r="F55" s="159">
        <v>0.26748594828143002</v>
      </c>
    </row>
    <row r="56" spans="2:6" x14ac:dyDescent="0.2">
      <c r="E56" s="15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0" t="s">
        <v>125</v>
      </c>
      <c r="I7" s="150"/>
      <c r="J7" s="150"/>
      <c r="K7" s="150"/>
      <c r="L7" s="150"/>
    </row>
    <row r="8" spans="2:12" x14ac:dyDescent="0.2">
      <c r="B8" s="93" t="s">
        <v>111</v>
      </c>
      <c r="C8" s="94" t="s">
        <v>126</v>
      </c>
      <c r="D8" s="101" t="s">
        <v>127</v>
      </c>
      <c r="E8" s="153" t="s">
        <v>128</v>
      </c>
      <c r="F8" s="94" t="s">
        <v>129</v>
      </c>
      <c r="G8" s="94" t="s">
        <v>130</v>
      </c>
      <c r="H8" s="94" t="s">
        <v>126</v>
      </c>
      <c r="I8" s="101" t="s">
        <v>127</v>
      </c>
      <c r="J8" s="94" t="s">
        <v>128</v>
      </c>
      <c r="K8" s="153" t="s">
        <v>129</v>
      </c>
      <c r="L8" s="94" t="s">
        <v>131</v>
      </c>
    </row>
    <row r="9" spans="2:12" x14ac:dyDescent="0.2">
      <c r="B9" s="91">
        <v>2012</v>
      </c>
      <c r="C9" s="92">
        <v>0.49967394789365399</v>
      </c>
      <c r="D9" s="92">
        <v>0.12952859144432399</v>
      </c>
      <c r="E9" s="92">
        <v>0.15444240218174801</v>
      </c>
      <c r="F9" s="92">
        <v>0.14205037321663699</v>
      </c>
      <c r="G9" s="92">
        <v>7.4304685263637302E-2</v>
      </c>
      <c r="H9" s="92"/>
      <c r="I9" s="154"/>
      <c r="J9" s="155"/>
      <c r="K9" s="155"/>
      <c r="L9" s="155"/>
    </row>
    <row r="10" spans="2:12" x14ac:dyDescent="0.2">
      <c r="B10" s="91">
        <v>2013</v>
      </c>
      <c r="C10" s="92">
        <v>0.54123385859437301</v>
      </c>
      <c r="D10" s="92">
        <v>0.13946892325539101</v>
      </c>
      <c r="E10" s="92">
        <v>0.109737135569324</v>
      </c>
      <c r="F10" s="92">
        <v>0.12233596589953299</v>
      </c>
      <c r="G10" s="92">
        <v>8.7224116681379193E-2</v>
      </c>
      <c r="H10" s="92"/>
      <c r="I10" s="154"/>
      <c r="J10" s="155"/>
      <c r="K10" s="155"/>
      <c r="L10" s="155"/>
    </row>
    <row r="11" spans="2:12" x14ac:dyDescent="0.2">
      <c r="B11" s="91">
        <v>2014</v>
      </c>
      <c r="C11" s="92">
        <v>0.477014609305838</v>
      </c>
      <c r="D11" s="92">
        <v>0.12970884941151301</v>
      </c>
      <c r="E11" s="92">
        <v>0.18768805968048399</v>
      </c>
      <c r="F11" s="92">
        <v>0.13755072005199601</v>
      </c>
      <c r="G11" s="92">
        <v>6.8037761550169704E-2</v>
      </c>
      <c r="H11" s="92">
        <f t="shared" ref="H11:H20" si="0">AVERAGE(C9:C11)</f>
        <v>0.50597413859795504</v>
      </c>
      <c r="I11" s="92">
        <f t="shared" ref="I11:I20" si="1">AVERAGE(D9:D11)</f>
        <v>0.13290212137040933</v>
      </c>
      <c r="J11" s="92">
        <f t="shared" ref="J11:J20" si="2">AVERAGE(E9:E11)</f>
        <v>0.15062253247718535</v>
      </c>
      <c r="K11" s="92">
        <f t="shared" ref="K11:K20" si="3">AVERAGE(F9:F11)</f>
        <v>0.133979019722722</v>
      </c>
      <c r="L11" s="92">
        <f t="shared" ref="L11:L20" si="4">AVERAGE(G9:G11)</f>
        <v>7.6522187831728747E-2</v>
      </c>
    </row>
    <row r="12" spans="2:12" x14ac:dyDescent="0.2">
      <c r="B12" s="91">
        <v>2015</v>
      </c>
      <c r="C12" s="92">
        <v>0.40995840076620998</v>
      </c>
      <c r="D12" s="92">
        <v>0.19979536807099799</v>
      </c>
      <c r="E12" s="92">
        <v>0.15752999480796301</v>
      </c>
      <c r="F12" s="92">
        <v>0.166058955554476</v>
      </c>
      <c r="G12" s="92">
        <v>6.4564700201305905E-2</v>
      </c>
      <c r="H12" s="92">
        <f t="shared" si="0"/>
        <v>0.47606895622214035</v>
      </c>
      <c r="I12" s="92">
        <f t="shared" si="1"/>
        <v>0.15632438024596731</v>
      </c>
      <c r="J12" s="92">
        <f t="shared" si="2"/>
        <v>0.151651730019257</v>
      </c>
      <c r="K12" s="92">
        <f t="shared" si="3"/>
        <v>0.14198188050200167</v>
      </c>
      <c r="L12" s="92">
        <f t="shared" si="4"/>
        <v>7.3275526144284939E-2</v>
      </c>
    </row>
    <row r="13" spans="2:12" x14ac:dyDescent="0.2">
      <c r="B13" s="91">
        <v>2016</v>
      </c>
      <c r="C13" s="92">
        <v>0.38444641925314998</v>
      </c>
      <c r="D13" s="92">
        <v>0.197390337471609</v>
      </c>
      <c r="E13" s="92">
        <v>0.18458587864675199</v>
      </c>
      <c r="F13" s="92">
        <v>0.16453374333670601</v>
      </c>
      <c r="G13" s="92">
        <v>6.9043621291782806E-2</v>
      </c>
      <c r="H13" s="92">
        <f t="shared" si="0"/>
        <v>0.42380647644173264</v>
      </c>
      <c r="I13" s="92">
        <f t="shared" si="1"/>
        <v>0.17563151831804</v>
      </c>
      <c r="J13" s="92">
        <f t="shared" si="2"/>
        <v>0.17660131104506635</v>
      </c>
      <c r="K13" s="92">
        <f t="shared" si="3"/>
        <v>0.15604780631439266</v>
      </c>
      <c r="L13" s="92">
        <f t="shared" si="4"/>
        <v>6.7215361014419481E-2</v>
      </c>
    </row>
    <row r="14" spans="2:12" x14ac:dyDescent="0.2">
      <c r="B14" s="91">
        <v>2017</v>
      </c>
      <c r="C14" s="92">
        <v>0.417401425341899</v>
      </c>
      <c r="D14" s="92">
        <v>0.17606045323192099</v>
      </c>
      <c r="E14" s="92">
        <v>0.136792891000729</v>
      </c>
      <c r="F14" s="92">
        <v>0.158781941474616</v>
      </c>
      <c r="G14" s="92">
        <v>0.110963288950835</v>
      </c>
      <c r="H14" s="92">
        <f t="shared" si="0"/>
        <v>0.40393541512041969</v>
      </c>
      <c r="I14" s="92">
        <f t="shared" si="1"/>
        <v>0.19108205292484268</v>
      </c>
      <c r="J14" s="92">
        <f t="shared" si="2"/>
        <v>0.15963625481848134</v>
      </c>
      <c r="K14" s="92">
        <f t="shared" si="3"/>
        <v>0.16312488012193269</v>
      </c>
      <c r="L14" s="92">
        <f t="shared" si="4"/>
        <v>8.1523870147974575E-2</v>
      </c>
    </row>
    <row r="15" spans="2:12" x14ac:dyDescent="0.2">
      <c r="B15" s="91">
        <v>2018</v>
      </c>
      <c r="C15" s="92">
        <v>0.41589419543466799</v>
      </c>
      <c r="D15" s="92">
        <v>0.146292017413713</v>
      </c>
      <c r="E15" s="92">
        <v>0.17168704062603099</v>
      </c>
      <c r="F15" s="92">
        <v>0.14674859556088901</v>
      </c>
      <c r="G15" s="92">
        <v>0.119378150964698</v>
      </c>
      <c r="H15" s="92">
        <f t="shared" si="0"/>
        <v>0.40591401334323901</v>
      </c>
      <c r="I15" s="92">
        <f t="shared" si="1"/>
        <v>0.17324760270574768</v>
      </c>
      <c r="J15" s="92">
        <f t="shared" si="2"/>
        <v>0.16435527009117068</v>
      </c>
      <c r="K15" s="92">
        <f t="shared" si="3"/>
        <v>0.15668809345740367</v>
      </c>
      <c r="L15" s="92">
        <f t="shared" si="4"/>
        <v>9.9795020402438595E-2</v>
      </c>
    </row>
    <row r="16" spans="2:12" x14ac:dyDescent="0.2">
      <c r="B16" s="91">
        <v>2019</v>
      </c>
      <c r="C16" s="92">
        <v>0.39050857327183902</v>
      </c>
      <c r="D16" s="92">
        <v>0.169531695010086</v>
      </c>
      <c r="E16" s="92">
        <v>0.198839217252886</v>
      </c>
      <c r="F16" s="92">
        <v>0.137837518008459</v>
      </c>
      <c r="G16" s="92">
        <v>0.10328299645673</v>
      </c>
      <c r="H16" s="92">
        <f t="shared" si="0"/>
        <v>0.40793473134946862</v>
      </c>
      <c r="I16" s="92">
        <f t="shared" si="1"/>
        <v>0.16396138855190667</v>
      </c>
      <c r="J16" s="92">
        <f t="shared" si="2"/>
        <v>0.16910638295988201</v>
      </c>
      <c r="K16" s="92">
        <f t="shared" si="3"/>
        <v>0.14778935168132135</v>
      </c>
      <c r="L16" s="92">
        <f t="shared" si="4"/>
        <v>0.11120814545742101</v>
      </c>
    </row>
    <row r="17" spans="2:12" x14ac:dyDescent="0.2">
      <c r="B17" s="91">
        <v>2020</v>
      </c>
      <c r="C17" s="92">
        <v>0.37215257966285398</v>
      </c>
      <c r="D17" s="92">
        <v>0.15889576521935</v>
      </c>
      <c r="E17" s="92">
        <v>0.199444346463612</v>
      </c>
      <c r="F17" s="92">
        <v>0.18722847729350101</v>
      </c>
      <c r="G17" s="92">
        <v>8.2278831360683397E-2</v>
      </c>
      <c r="H17" s="92">
        <f t="shared" si="0"/>
        <v>0.392851782789787</v>
      </c>
      <c r="I17" s="92">
        <f t="shared" si="1"/>
        <v>0.15823982588104968</v>
      </c>
      <c r="J17" s="92">
        <f t="shared" si="2"/>
        <v>0.18999020144750967</v>
      </c>
      <c r="K17" s="92">
        <f t="shared" si="3"/>
        <v>0.15727153028761634</v>
      </c>
      <c r="L17" s="92">
        <f t="shared" si="4"/>
        <v>0.10164665959403714</v>
      </c>
    </row>
    <row r="18" spans="2:12" x14ac:dyDescent="0.2">
      <c r="B18" s="91">
        <v>2021</v>
      </c>
      <c r="C18" s="92">
        <v>0.42856159163630297</v>
      </c>
      <c r="D18" s="92">
        <v>0.14746227705048601</v>
      </c>
      <c r="E18" s="92">
        <v>0.187126925173005</v>
      </c>
      <c r="F18" s="92">
        <v>0.11206191941190501</v>
      </c>
      <c r="G18" s="92">
        <v>0.1247872867283</v>
      </c>
      <c r="H18" s="92">
        <f t="shared" si="0"/>
        <v>0.39707424819033199</v>
      </c>
      <c r="I18" s="92">
        <f t="shared" si="1"/>
        <v>0.15862991242664068</v>
      </c>
      <c r="J18" s="92">
        <f t="shared" si="2"/>
        <v>0.19513682962983434</v>
      </c>
      <c r="K18" s="92">
        <f t="shared" si="3"/>
        <v>0.14570930490462167</v>
      </c>
      <c r="L18" s="92">
        <f t="shared" si="4"/>
        <v>0.10344970484857113</v>
      </c>
    </row>
    <row r="19" spans="2:12" x14ac:dyDescent="0.2">
      <c r="B19" s="91">
        <v>2022</v>
      </c>
      <c r="C19" s="92">
        <v>0.43154627497965298</v>
      </c>
      <c r="D19" s="92">
        <v>0.182889198375526</v>
      </c>
      <c r="E19" s="92">
        <v>0.13883047781682201</v>
      </c>
      <c r="F19" s="92">
        <v>0.13164925626486099</v>
      </c>
      <c r="G19" s="92">
        <v>0.115084792563139</v>
      </c>
      <c r="H19" s="92">
        <f t="shared" si="0"/>
        <v>0.41075348209293666</v>
      </c>
      <c r="I19" s="92">
        <f t="shared" si="1"/>
        <v>0.16308241354845399</v>
      </c>
      <c r="J19" s="92">
        <f t="shared" si="2"/>
        <v>0.17513391648447965</v>
      </c>
      <c r="K19" s="92">
        <f t="shared" si="3"/>
        <v>0.14364655099008902</v>
      </c>
      <c r="L19" s="92">
        <f t="shared" si="4"/>
        <v>0.1073836368840408</v>
      </c>
    </row>
    <row r="20" spans="2:12" x14ac:dyDescent="0.2">
      <c r="B20" s="91">
        <v>2023</v>
      </c>
      <c r="C20" s="92">
        <v>0.358119355716147</v>
      </c>
      <c r="D20" s="92">
        <v>0.198638085374128</v>
      </c>
      <c r="E20" s="92">
        <v>0.20862290906193501</v>
      </c>
      <c r="F20" s="92">
        <v>0.136031915026844</v>
      </c>
      <c r="G20" s="92">
        <v>9.8587734820946502E-2</v>
      </c>
      <c r="H20" s="92">
        <f t="shared" si="0"/>
        <v>0.40607574077736763</v>
      </c>
      <c r="I20" s="92">
        <f t="shared" si="1"/>
        <v>0.17632985360004669</v>
      </c>
      <c r="J20" s="92">
        <f t="shared" si="2"/>
        <v>0.17819343735058735</v>
      </c>
      <c r="K20" s="92">
        <f t="shared" si="3"/>
        <v>0.12658103023453668</v>
      </c>
      <c r="L20" s="92">
        <f t="shared" si="4"/>
        <v>0.11281993803746183</v>
      </c>
    </row>
    <row r="21" spans="2:12" x14ac:dyDescent="0.2">
      <c r="B21" s="89"/>
      <c r="C21" s="78"/>
      <c r="D21" s="78"/>
      <c r="E21" s="151"/>
      <c r="F21" s="88"/>
    </row>
    <row r="22" spans="2:12" x14ac:dyDescent="0.2">
      <c r="B22" s="89"/>
      <c r="C22" s="78"/>
      <c r="D22" s="78"/>
      <c r="E22" s="90"/>
      <c r="F22" s="88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6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29" t="s">
        <v>111</v>
      </c>
      <c r="C7" s="85" t="s">
        <v>136</v>
      </c>
      <c r="D7" s="130" t="s">
        <v>117</v>
      </c>
      <c r="E7" s="130" t="s">
        <v>137</v>
      </c>
      <c r="F7" s="130" t="s">
        <v>138</v>
      </c>
      <c r="G7" s="130" t="s">
        <v>106</v>
      </c>
    </row>
    <row r="8" spans="2:7" customFormat="1" hidden="1" x14ac:dyDescent="0.2">
      <c r="B8" s="99">
        <v>2017</v>
      </c>
      <c r="C8" s="107" t="s">
        <v>139</v>
      </c>
      <c r="D8" s="108" t="s">
        <v>120</v>
      </c>
      <c r="E8" s="109">
        <v>494848.33333333302</v>
      </c>
      <c r="F8" s="109">
        <v>39802.666666666701</v>
      </c>
      <c r="G8" s="100">
        <v>7.444607167417E-2</v>
      </c>
    </row>
    <row r="9" spans="2:7" x14ac:dyDescent="0.2">
      <c r="B9" s="125">
        <v>2017</v>
      </c>
      <c r="C9" s="84" t="s">
        <v>139</v>
      </c>
      <c r="D9" s="126" t="s">
        <v>121</v>
      </c>
      <c r="E9" s="127">
        <v>306255</v>
      </c>
      <c r="F9" s="127">
        <v>32902.666666666701</v>
      </c>
      <c r="G9" s="128">
        <v>9.7012893708236E-2</v>
      </c>
    </row>
    <row r="10" spans="2:7" customFormat="1" hidden="1" x14ac:dyDescent="0.2">
      <c r="B10" s="99">
        <v>2017</v>
      </c>
      <c r="C10" s="107" t="s">
        <v>139</v>
      </c>
      <c r="D10" s="108" t="s">
        <v>122</v>
      </c>
      <c r="E10" s="109">
        <v>244836.33333333299</v>
      </c>
      <c r="F10" s="109">
        <v>17800.666666666701</v>
      </c>
      <c r="G10" s="100">
        <v>6.7776690514537802E-2</v>
      </c>
    </row>
    <row r="11" spans="2:7" customFormat="1" hidden="1" x14ac:dyDescent="0.2">
      <c r="B11" s="99">
        <v>2019</v>
      </c>
      <c r="C11" s="107" t="s">
        <v>139</v>
      </c>
      <c r="D11" s="108" t="s">
        <v>120</v>
      </c>
      <c r="E11" s="109">
        <v>554929</v>
      </c>
      <c r="F11" s="109">
        <v>26329.333333333299</v>
      </c>
      <c r="G11" s="100">
        <v>4.52971283565827E-2</v>
      </c>
    </row>
    <row r="12" spans="2:7" x14ac:dyDescent="0.2">
      <c r="B12" s="125">
        <v>2019</v>
      </c>
      <c r="C12" s="84" t="s">
        <v>139</v>
      </c>
      <c r="D12" s="126" t="s">
        <v>121</v>
      </c>
      <c r="E12" s="127">
        <v>302957.66666666698</v>
      </c>
      <c r="F12" s="127">
        <v>29787.666666666701</v>
      </c>
      <c r="G12" s="128">
        <v>8.9520914893872802E-2</v>
      </c>
    </row>
    <row r="13" spans="2:7" customFormat="1" hidden="1" x14ac:dyDescent="0.2">
      <c r="B13" s="99">
        <v>2019</v>
      </c>
      <c r="C13" s="107" t="s">
        <v>139</v>
      </c>
      <c r="D13" s="108" t="s">
        <v>122</v>
      </c>
      <c r="E13" s="109">
        <v>248290.33333333299</v>
      </c>
      <c r="F13" s="109">
        <v>14976.666666666701</v>
      </c>
      <c r="G13" s="100">
        <v>5.6887747673147998E-2</v>
      </c>
    </row>
    <row r="14" spans="2:7" customFormat="1" hidden="1" x14ac:dyDescent="0.2">
      <c r="B14" s="99">
        <v>2023</v>
      </c>
      <c r="C14" s="107" t="s">
        <v>139</v>
      </c>
      <c r="D14" s="108" t="s">
        <v>120</v>
      </c>
      <c r="E14" s="109">
        <v>577119</v>
      </c>
      <c r="F14" s="109">
        <v>30608.333333333299</v>
      </c>
      <c r="G14" s="100">
        <v>5.0365240551958103E-2</v>
      </c>
    </row>
    <row r="15" spans="2:7" x14ac:dyDescent="0.2">
      <c r="B15" s="125">
        <v>2023</v>
      </c>
      <c r="C15" s="84" t="s">
        <v>139</v>
      </c>
      <c r="D15" s="126" t="s">
        <v>121</v>
      </c>
      <c r="E15" s="127">
        <v>359475.33333333302</v>
      </c>
      <c r="F15" s="127">
        <v>21068.666666666701</v>
      </c>
      <c r="G15" s="128">
        <v>5.5364600852113498E-2</v>
      </c>
    </row>
    <row r="16" spans="2:7" customFormat="1" hidden="1" x14ac:dyDescent="0.2">
      <c r="B16" s="99">
        <v>2023</v>
      </c>
      <c r="C16" s="107" t="s">
        <v>139</v>
      </c>
      <c r="D16" s="108" t="s">
        <v>122</v>
      </c>
      <c r="E16" s="109">
        <v>255562.66666666701</v>
      </c>
      <c r="F16" s="109">
        <v>12568</v>
      </c>
      <c r="G16" s="100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5" t="s">
        <v>141</v>
      </c>
      <c r="C7" s="95" t="s">
        <v>104</v>
      </c>
      <c r="D7" s="95" t="s">
        <v>105</v>
      </c>
      <c r="E7" s="95" t="s">
        <v>106</v>
      </c>
    </row>
    <row r="8" spans="2:5" x14ac:dyDescent="0.2">
      <c r="B8" s="96" t="s">
        <v>142</v>
      </c>
      <c r="C8" s="97">
        <v>2554442.5303323702</v>
      </c>
      <c r="D8" s="96">
        <v>1065</v>
      </c>
      <c r="E8" s="102">
        <v>0.84285815833250599</v>
      </c>
    </row>
    <row r="9" spans="2:5" x14ac:dyDescent="0.2">
      <c r="B9" s="96" t="s">
        <v>143</v>
      </c>
      <c r="C9" s="97">
        <v>91223.594884189995</v>
      </c>
      <c r="D9" s="96">
        <v>44</v>
      </c>
      <c r="E9" s="102">
        <v>3.0099933847622998E-2</v>
      </c>
    </row>
    <row r="10" spans="2:5" x14ac:dyDescent="0.2">
      <c r="B10" s="96" t="s">
        <v>144</v>
      </c>
      <c r="C10" s="97">
        <v>22543.4853648553</v>
      </c>
      <c r="D10" s="96">
        <v>9</v>
      </c>
      <c r="E10" s="102">
        <v>7.4383981363422697E-3</v>
      </c>
    </row>
    <row r="11" spans="2:5" x14ac:dyDescent="0.2">
      <c r="B11" s="96" t="s">
        <v>145</v>
      </c>
      <c r="C11" s="97">
        <v>79843.712442247197</v>
      </c>
      <c r="D11" s="96">
        <v>29</v>
      </c>
      <c r="E11" s="102">
        <v>2.6345053225662701E-2</v>
      </c>
    </row>
    <row r="12" spans="2:5" x14ac:dyDescent="0.2">
      <c r="B12" s="96" t="s">
        <v>146</v>
      </c>
      <c r="C12" s="97">
        <v>7067.1993113927701</v>
      </c>
      <c r="D12" s="96">
        <v>4</v>
      </c>
      <c r="E12" s="102">
        <v>2.3318773178248901E-3</v>
      </c>
    </row>
    <row r="13" spans="2:5" x14ac:dyDescent="0.2">
      <c r="B13" s="96" t="s">
        <v>147</v>
      </c>
      <c r="C13" s="97">
        <v>275570.35379768303</v>
      </c>
      <c r="D13" s="96">
        <v>110</v>
      </c>
      <c r="E13" s="102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2" t="s">
        <v>152</v>
      </c>
      <c r="C7" s="112">
        <v>2019</v>
      </c>
      <c r="D7" s="112" t="s">
        <v>153</v>
      </c>
      <c r="E7" s="112">
        <v>2021</v>
      </c>
      <c r="F7" s="112" t="s">
        <v>154</v>
      </c>
      <c r="G7" s="112">
        <v>2023</v>
      </c>
    </row>
    <row r="8" spans="2:7" ht="17" x14ac:dyDescent="0.2">
      <c r="B8" s="110" t="s">
        <v>155</v>
      </c>
      <c r="C8" s="111">
        <v>0</v>
      </c>
      <c r="D8" s="111">
        <v>1</v>
      </c>
      <c r="E8" s="111">
        <v>0</v>
      </c>
      <c r="F8" s="111">
        <v>1</v>
      </c>
      <c r="G8" s="111">
        <v>0</v>
      </c>
    </row>
    <row r="9" spans="2:7" ht="17" x14ac:dyDescent="0.2">
      <c r="B9" s="110" t="s">
        <v>156</v>
      </c>
      <c r="C9" s="111">
        <v>2</v>
      </c>
      <c r="D9" s="111">
        <v>0</v>
      </c>
      <c r="E9" s="111">
        <v>0</v>
      </c>
      <c r="F9" s="111">
        <v>1</v>
      </c>
      <c r="G9" s="111">
        <v>1</v>
      </c>
    </row>
    <row r="10" spans="2:7" ht="17" x14ac:dyDescent="0.2">
      <c r="B10" s="110" t="s">
        <v>157</v>
      </c>
      <c r="C10" s="111">
        <v>0</v>
      </c>
      <c r="D10" s="111">
        <v>0</v>
      </c>
      <c r="E10" s="111">
        <v>1</v>
      </c>
      <c r="F10" s="111">
        <v>0</v>
      </c>
      <c r="G10" s="111">
        <v>2</v>
      </c>
    </row>
    <row r="11" spans="2:7" ht="17" x14ac:dyDescent="0.2">
      <c r="B11" s="110" t="s">
        <v>158</v>
      </c>
      <c r="C11" s="111">
        <v>0</v>
      </c>
      <c r="D11" s="111">
        <v>1</v>
      </c>
      <c r="E11" s="111">
        <v>1</v>
      </c>
      <c r="F11" s="111">
        <v>4</v>
      </c>
      <c r="G11" s="111">
        <v>0</v>
      </c>
    </row>
    <row r="12" spans="2:7" ht="17" x14ac:dyDescent="0.2">
      <c r="B12" s="110" t="s">
        <v>159</v>
      </c>
      <c r="C12" s="111">
        <v>0</v>
      </c>
      <c r="D12" s="111">
        <v>0</v>
      </c>
      <c r="E12" s="111">
        <v>1</v>
      </c>
      <c r="F12" s="111">
        <v>0</v>
      </c>
      <c r="G12" s="111">
        <v>3</v>
      </c>
    </row>
    <row r="13" spans="2:7" ht="17" x14ac:dyDescent="0.2">
      <c r="B13" s="110" t="s">
        <v>160</v>
      </c>
      <c r="C13" s="111">
        <v>0</v>
      </c>
      <c r="D13" s="111">
        <v>0</v>
      </c>
      <c r="E13" s="111">
        <v>0</v>
      </c>
      <c r="F13" s="111">
        <v>1</v>
      </c>
      <c r="G13" s="111">
        <v>0</v>
      </c>
    </row>
    <row r="14" spans="2:7" ht="17" x14ac:dyDescent="0.2">
      <c r="B14" s="110" t="s">
        <v>161</v>
      </c>
      <c r="C14" s="111">
        <v>0</v>
      </c>
      <c r="D14" s="111">
        <v>1</v>
      </c>
      <c r="E14" s="111">
        <v>0</v>
      </c>
      <c r="F14" s="111">
        <v>2</v>
      </c>
      <c r="G14" s="111">
        <v>1</v>
      </c>
    </row>
    <row r="15" spans="2:7" ht="17" x14ac:dyDescent="0.2">
      <c r="B15" s="110" t="s">
        <v>162</v>
      </c>
      <c r="C15" s="111">
        <v>2</v>
      </c>
      <c r="D15" s="111">
        <v>0</v>
      </c>
      <c r="E15" s="111">
        <v>1</v>
      </c>
      <c r="F15" s="111">
        <v>0</v>
      </c>
      <c r="G15" s="111">
        <v>3</v>
      </c>
    </row>
    <row r="16" spans="2:7" ht="17" x14ac:dyDescent="0.2">
      <c r="B16" s="110" t="s">
        <v>163</v>
      </c>
      <c r="C16" s="111">
        <v>0</v>
      </c>
      <c r="D16" s="111">
        <v>1</v>
      </c>
      <c r="E16" s="111">
        <v>0</v>
      </c>
      <c r="F16" s="111">
        <v>1</v>
      </c>
      <c r="G16" s="111">
        <v>1</v>
      </c>
    </row>
    <row r="17" spans="2:7" ht="17" x14ac:dyDescent="0.2">
      <c r="B17" s="110" t="s">
        <v>164</v>
      </c>
      <c r="C17" s="111">
        <v>0</v>
      </c>
      <c r="D17" s="111">
        <v>1</v>
      </c>
      <c r="E17" s="111">
        <v>1</v>
      </c>
      <c r="F17" s="111">
        <v>6</v>
      </c>
      <c r="G17" s="111">
        <v>2</v>
      </c>
    </row>
    <row r="18" spans="2:7" ht="17" x14ac:dyDescent="0.2">
      <c r="B18" s="110" t="s">
        <v>165</v>
      </c>
      <c r="C18" s="111">
        <v>0</v>
      </c>
      <c r="D18" s="111">
        <v>0</v>
      </c>
      <c r="E18" s="111">
        <v>1</v>
      </c>
      <c r="F18" s="111">
        <v>1</v>
      </c>
      <c r="G18" s="111">
        <v>2</v>
      </c>
    </row>
    <row r="19" spans="2:7" ht="17" x14ac:dyDescent="0.2">
      <c r="B19" s="110" t="s">
        <v>166</v>
      </c>
      <c r="C19" s="111">
        <v>0</v>
      </c>
      <c r="D19" s="111">
        <v>0</v>
      </c>
      <c r="E19" s="111">
        <v>1</v>
      </c>
      <c r="F19" s="111">
        <v>0</v>
      </c>
      <c r="G19" s="111">
        <v>1</v>
      </c>
    </row>
    <row r="20" spans="2:7" ht="17" x14ac:dyDescent="0.2">
      <c r="B20" s="110" t="s">
        <v>167</v>
      </c>
      <c r="C20" s="111">
        <v>1</v>
      </c>
      <c r="D20" s="111">
        <v>0</v>
      </c>
      <c r="E20" s="111">
        <v>2</v>
      </c>
      <c r="F20" s="111">
        <v>0</v>
      </c>
      <c r="G20" s="111">
        <v>0</v>
      </c>
    </row>
    <row r="21" spans="2:7" ht="17" x14ac:dyDescent="0.2">
      <c r="B21" s="110" t="s">
        <v>168</v>
      </c>
      <c r="C21" s="111">
        <v>1</v>
      </c>
      <c r="D21" s="111">
        <v>0</v>
      </c>
      <c r="E21" s="111">
        <v>0</v>
      </c>
      <c r="F21" s="111">
        <v>0</v>
      </c>
      <c r="G21" s="111">
        <v>2</v>
      </c>
    </row>
    <row r="22" spans="2:7" ht="17" x14ac:dyDescent="0.2">
      <c r="B22" s="110" t="s">
        <v>169</v>
      </c>
      <c r="C22" s="111">
        <v>0</v>
      </c>
      <c r="D22" s="111">
        <v>0</v>
      </c>
      <c r="E22" s="111">
        <v>0</v>
      </c>
      <c r="F22" s="111">
        <v>0</v>
      </c>
      <c r="G22" s="111">
        <v>1</v>
      </c>
    </row>
    <row r="23" spans="2:7" ht="17" x14ac:dyDescent="0.2">
      <c r="B23" s="110" t="s">
        <v>170</v>
      </c>
      <c r="C23" s="111">
        <v>0</v>
      </c>
      <c r="D23" s="111">
        <v>1</v>
      </c>
      <c r="E23" s="111">
        <v>0</v>
      </c>
      <c r="F23" s="111">
        <v>0</v>
      </c>
      <c r="G23" s="111">
        <v>0</v>
      </c>
    </row>
    <row r="24" spans="2:7" ht="17" x14ac:dyDescent="0.2">
      <c r="B24" s="110" t="s">
        <v>171</v>
      </c>
      <c r="C24" s="111">
        <v>0</v>
      </c>
      <c r="D24" s="111">
        <v>0</v>
      </c>
      <c r="E24" s="111">
        <v>1</v>
      </c>
      <c r="F24" s="111">
        <v>0</v>
      </c>
      <c r="G24" s="111">
        <v>1</v>
      </c>
    </row>
    <row r="25" spans="2:7" ht="17" x14ac:dyDescent="0.2">
      <c r="B25" s="110" t="s">
        <v>172</v>
      </c>
      <c r="C25" s="111">
        <v>1</v>
      </c>
      <c r="D25" s="111">
        <v>0</v>
      </c>
      <c r="E25" s="111">
        <v>0</v>
      </c>
      <c r="F25" s="111">
        <v>0</v>
      </c>
      <c r="G25" s="111">
        <v>2</v>
      </c>
    </row>
    <row r="26" spans="2:7" ht="17" x14ac:dyDescent="0.2">
      <c r="B26" s="110" t="s">
        <v>173</v>
      </c>
      <c r="C26" s="111">
        <v>0</v>
      </c>
      <c r="D26" s="111">
        <v>1</v>
      </c>
      <c r="E26" s="111">
        <v>0</v>
      </c>
      <c r="F26" s="111">
        <v>1</v>
      </c>
      <c r="G26" s="111">
        <v>0</v>
      </c>
    </row>
    <row r="27" spans="2:7" ht="17" x14ac:dyDescent="0.2">
      <c r="B27" s="110" t="s">
        <v>174</v>
      </c>
      <c r="C27" s="111">
        <v>0</v>
      </c>
      <c r="D27" s="111">
        <v>0</v>
      </c>
      <c r="E27" s="111">
        <v>0</v>
      </c>
      <c r="F27" s="111">
        <v>0</v>
      </c>
      <c r="G27" s="111">
        <v>1</v>
      </c>
    </row>
    <row r="28" spans="2:7" ht="17" x14ac:dyDescent="0.2">
      <c r="B28" s="110" t="s">
        <v>175</v>
      </c>
      <c r="C28" s="111">
        <v>0</v>
      </c>
      <c r="D28" s="111">
        <v>3</v>
      </c>
      <c r="E28" s="111">
        <v>1</v>
      </c>
      <c r="F28" s="111">
        <v>0</v>
      </c>
      <c r="G28" s="111">
        <v>0</v>
      </c>
    </row>
    <row r="29" spans="2:7" ht="17" x14ac:dyDescent="0.2">
      <c r="B29" s="110" t="s">
        <v>176</v>
      </c>
      <c r="C29" s="111">
        <v>0</v>
      </c>
      <c r="D29" s="111">
        <v>1</v>
      </c>
      <c r="E29" s="111">
        <v>0</v>
      </c>
      <c r="F29" s="111">
        <v>0</v>
      </c>
      <c r="G29" s="111">
        <v>2</v>
      </c>
    </row>
    <row r="30" spans="2:7" ht="17" x14ac:dyDescent="0.2">
      <c r="B30" s="110" t="s">
        <v>177</v>
      </c>
      <c r="C30" s="111">
        <v>0</v>
      </c>
      <c r="D30" s="111">
        <v>0</v>
      </c>
      <c r="E30" s="111">
        <v>0</v>
      </c>
      <c r="F30" s="111">
        <v>1</v>
      </c>
      <c r="G30" s="111">
        <v>0</v>
      </c>
    </row>
    <row r="31" spans="2:7" ht="17" x14ac:dyDescent="0.2">
      <c r="B31" s="110" t="s">
        <v>178</v>
      </c>
      <c r="C31" s="111">
        <v>0</v>
      </c>
      <c r="D31" s="111">
        <v>0</v>
      </c>
      <c r="E31" s="111">
        <v>1</v>
      </c>
      <c r="F31" s="111">
        <v>3</v>
      </c>
      <c r="G31" s="111">
        <v>0</v>
      </c>
    </row>
    <row r="32" spans="2:7" ht="17" x14ac:dyDescent="0.2">
      <c r="B32" s="110" t="s">
        <v>179</v>
      </c>
      <c r="C32" s="111">
        <v>1</v>
      </c>
      <c r="D32" s="111">
        <v>1</v>
      </c>
      <c r="E32" s="111">
        <v>0</v>
      </c>
      <c r="F32" s="111">
        <v>2</v>
      </c>
      <c r="G32" s="111">
        <v>1</v>
      </c>
    </row>
    <row r="33" spans="2:7" ht="17" x14ac:dyDescent="0.2">
      <c r="B33" s="110" t="s">
        <v>180</v>
      </c>
      <c r="C33" s="111">
        <v>0</v>
      </c>
      <c r="D33" s="111">
        <v>3</v>
      </c>
      <c r="E33" s="111">
        <v>2</v>
      </c>
      <c r="F33" s="111">
        <v>1</v>
      </c>
      <c r="G33" s="111">
        <v>1</v>
      </c>
    </row>
    <row r="34" spans="2:7" ht="17" x14ac:dyDescent="0.2">
      <c r="B34" s="110" t="s">
        <v>181</v>
      </c>
      <c r="C34" s="111">
        <v>0</v>
      </c>
      <c r="D34" s="111">
        <v>2</v>
      </c>
      <c r="E34" s="111">
        <v>0</v>
      </c>
      <c r="F34" s="111">
        <v>0</v>
      </c>
      <c r="G34" s="111">
        <v>1</v>
      </c>
    </row>
    <row r="35" spans="2:7" ht="17" x14ac:dyDescent="0.2">
      <c r="B35" s="110" t="s">
        <v>182</v>
      </c>
      <c r="C35" s="111">
        <v>0</v>
      </c>
      <c r="D35" s="111">
        <v>3</v>
      </c>
      <c r="E35" s="111">
        <v>5</v>
      </c>
      <c r="F35" s="111">
        <v>4</v>
      </c>
      <c r="G35" s="111">
        <v>5</v>
      </c>
    </row>
    <row r="36" spans="2:7" ht="17" x14ac:dyDescent="0.2">
      <c r="B36" s="110" t="s">
        <v>183</v>
      </c>
      <c r="C36" s="111">
        <v>0</v>
      </c>
      <c r="D36" s="111">
        <v>1</v>
      </c>
      <c r="E36" s="111">
        <v>1</v>
      </c>
      <c r="F36" s="111">
        <v>5</v>
      </c>
      <c r="G36" s="111">
        <v>0</v>
      </c>
    </row>
    <row r="37" spans="2:7" ht="17" x14ac:dyDescent="0.2">
      <c r="B37" s="110" t="s">
        <v>184</v>
      </c>
      <c r="C37" s="111">
        <v>1</v>
      </c>
      <c r="D37" s="111">
        <v>1</v>
      </c>
      <c r="E37" s="111">
        <v>0</v>
      </c>
      <c r="F37" s="111">
        <v>2</v>
      </c>
      <c r="G37" s="111">
        <v>2</v>
      </c>
    </row>
    <row r="38" spans="2:7" ht="17" x14ac:dyDescent="0.2">
      <c r="B38" s="110" t="s">
        <v>185</v>
      </c>
      <c r="C38" s="111">
        <v>1</v>
      </c>
      <c r="D38" s="111">
        <v>0</v>
      </c>
      <c r="E38" s="111">
        <v>0</v>
      </c>
      <c r="F38" s="111">
        <v>0</v>
      </c>
      <c r="G38" s="111">
        <v>0</v>
      </c>
    </row>
    <row r="39" spans="2:7" ht="17" x14ac:dyDescent="0.2">
      <c r="B39" s="110" t="s">
        <v>132</v>
      </c>
      <c r="C39" s="111">
        <v>10</v>
      </c>
      <c r="D39" s="111">
        <v>22</v>
      </c>
      <c r="E39" s="111">
        <v>20</v>
      </c>
      <c r="F39" s="111">
        <v>36</v>
      </c>
      <c r="G39" s="111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6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3" t="s">
        <v>189</v>
      </c>
      <c r="C8" s="84">
        <v>1618</v>
      </c>
      <c r="D8" s="87">
        <v>0.90391061452513999</v>
      </c>
    </row>
    <row r="9" spans="2:4" ht="17" x14ac:dyDescent="0.2">
      <c r="B9" s="113" t="s">
        <v>190</v>
      </c>
      <c r="C9" s="84">
        <v>133</v>
      </c>
      <c r="D9" s="87">
        <v>7.4301675977653595E-2</v>
      </c>
    </row>
    <row r="10" spans="2:4" ht="68" x14ac:dyDescent="0.2">
      <c r="B10" s="113" t="s">
        <v>191</v>
      </c>
      <c r="C10" s="84">
        <v>30</v>
      </c>
      <c r="D10" s="87">
        <v>1.67597765363128E-2</v>
      </c>
    </row>
    <row r="11" spans="2:4" ht="17" x14ac:dyDescent="0.2">
      <c r="B11" s="113" t="s">
        <v>99</v>
      </c>
      <c r="C11" s="84">
        <v>9</v>
      </c>
      <c r="D11" s="87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39" t="s">
        <v>193</v>
      </c>
      <c r="C7" s="139" t="s">
        <v>118</v>
      </c>
      <c r="D7" s="139" t="s">
        <v>93</v>
      </c>
    </row>
    <row r="8" spans="2:4" x14ac:dyDescent="0.2">
      <c r="B8" s="138" t="s">
        <v>194</v>
      </c>
      <c r="C8" s="138">
        <v>760</v>
      </c>
      <c r="D8" s="140">
        <v>0.42458100558659201</v>
      </c>
    </row>
    <row r="9" spans="2:4" x14ac:dyDescent="0.2">
      <c r="B9" s="138" t="s">
        <v>195</v>
      </c>
      <c r="C9" s="138">
        <v>582</v>
      </c>
      <c r="D9" s="140">
        <v>0.32513966480446899</v>
      </c>
    </row>
    <row r="10" spans="2:4" x14ac:dyDescent="0.2">
      <c r="B10" s="138" t="s">
        <v>196</v>
      </c>
      <c r="C10" s="138">
        <v>442</v>
      </c>
      <c r="D10" s="140">
        <v>0.24692737430167599</v>
      </c>
    </row>
    <row r="11" spans="2:4" x14ac:dyDescent="0.2">
      <c r="B11" s="138" t="s">
        <v>99</v>
      </c>
      <c r="C11" s="138">
        <v>6</v>
      </c>
      <c r="D11" s="140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R272"/>
  <sheetViews>
    <sheetView zoomScale="75" zoomScaleNormal="106" workbookViewId="0">
      <selection activeCell="I298" sqref="I298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8" width="10.85546875" style="83" bestFit="1" customWidth="1"/>
    <col min="19" max="16384" width="8.85546875" style="83"/>
  </cols>
  <sheetData>
    <row r="2" spans="2:18" x14ac:dyDescent="0.2">
      <c r="B2" s="83" t="s">
        <v>1</v>
      </c>
      <c r="C2" s="83" t="s">
        <v>197</v>
      </c>
    </row>
    <row r="3" spans="2:18" x14ac:dyDescent="0.2">
      <c r="B3" s="83" t="s">
        <v>85</v>
      </c>
      <c r="C3" s="83" t="s">
        <v>198</v>
      </c>
    </row>
    <row r="4" spans="2:18" x14ac:dyDescent="0.2">
      <c r="B4" s="83" t="s">
        <v>87</v>
      </c>
      <c r="C4" s="82" t="s">
        <v>199</v>
      </c>
    </row>
    <row r="5" spans="2:18" x14ac:dyDescent="0.2">
      <c r="B5" s="83" t="s">
        <v>89</v>
      </c>
      <c r="C5" s="83" t="s">
        <v>110</v>
      </c>
    </row>
    <row r="7" spans="2:18" x14ac:dyDescent="0.2">
      <c r="B7" s="85" t="s">
        <v>200</v>
      </c>
      <c r="C7" s="85" t="s">
        <v>201</v>
      </c>
      <c r="D7" s="177">
        <v>45658</v>
      </c>
      <c r="E7" s="177">
        <v>45689</v>
      </c>
      <c r="F7" s="177">
        <v>45717</v>
      </c>
      <c r="G7" s="177">
        <v>45748</v>
      </c>
      <c r="H7" s="177">
        <v>45778</v>
      </c>
      <c r="I7" s="177">
        <v>45809</v>
      </c>
      <c r="J7" s="177">
        <v>45839</v>
      </c>
      <c r="K7" s="177">
        <v>45870</v>
      </c>
      <c r="L7" s="177">
        <v>45901</v>
      </c>
      <c r="M7" s="177">
        <v>45931</v>
      </c>
      <c r="N7" s="177">
        <v>45962</v>
      </c>
      <c r="O7" s="177">
        <v>45992</v>
      </c>
      <c r="P7" s="178">
        <v>46023</v>
      </c>
      <c r="Q7" s="178">
        <v>46054</v>
      </c>
      <c r="R7" s="178">
        <v>46082</v>
      </c>
    </row>
    <row r="8" spans="2:18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8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8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8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8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8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8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8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8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8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8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8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8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8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8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8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8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8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  <c r="P169" s="83">
        <v>10</v>
      </c>
      <c r="Q169" s="83">
        <v>9</v>
      </c>
      <c r="R169" s="83">
        <v>8</v>
      </c>
    </row>
    <row r="170" spans="2:18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  <c r="P170" s="83">
        <v>51</v>
      </c>
      <c r="Q170" s="83">
        <v>49</v>
      </c>
      <c r="R170" s="83">
        <v>47</v>
      </c>
    </row>
    <row r="171" spans="2:18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  <c r="P171" s="83">
        <v>4</v>
      </c>
      <c r="Q171" s="83">
        <v>9</v>
      </c>
      <c r="R171" s="83">
        <v>12</v>
      </c>
    </row>
    <row r="172" spans="2:18" x14ac:dyDescent="0.2">
      <c r="B172" s="84" t="s">
        <v>309</v>
      </c>
      <c r="C172" s="149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  <c r="P172" s="83">
        <v>107</v>
      </c>
      <c r="Q172" s="83">
        <v>97</v>
      </c>
      <c r="R172" s="83">
        <v>105</v>
      </c>
    </row>
    <row r="173" spans="2:18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  <c r="P173" s="83">
        <v>52</v>
      </c>
      <c r="Q173" s="83">
        <v>49</v>
      </c>
      <c r="R173" s="83">
        <v>36</v>
      </c>
    </row>
    <row r="174" spans="2:18" x14ac:dyDescent="0.2">
      <c r="B174" s="84" t="s">
        <v>309</v>
      </c>
      <c r="C174" s="149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  <c r="P174" s="83">
        <v>157</v>
      </c>
      <c r="Q174" s="83">
        <v>167</v>
      </c>
      <c r="R174" s="83">
        <v>142</v>
      </c>
    </row>
    <row r="175" spans="2:18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  <c r="P175" s="83">
        <v>192</v>
      </c>
      <c r="Q175" s="83">
        <v>170</v>
      </c>
      <c r="R175" s="83">
        <v>180</v>
      </c>
    </row>
    <row r="176" spans="2:18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  <c r="P176" s="83">
        <v>10</v>
      </c>
      <c r="Q176" s="83">
        <v>11</v>
      </c>
      <c r="R176" s="83">
        <v>20</v>
      </c>
    </row>
    <row r="177" spans="2:18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  <c r="P177" s="83">
        <v>10</v>
      </c>
      <c r="Q177" s="83">
        <v>19</v>
      </c>
      <c r="R177" s="83">
        <v>14</v>
      </c>
    </row>
    <row r="178" spans="2:18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  <c r="P178" s="83">
        <v>82</v>
      </c>
      <c r="Q178" s="83">
        <v>90</v>
      </c>
      <c r="R178" s="83">
        <v>92</v>
      </c>
    </row>
    <row r="179" spans="2:18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  <c r="P179" s="83">
        <v>33</v>
      </c>
      <c r="Q179" s="83">
        <v>32</v>
      </c>
      <c r="R179" s="83">
        <v>45</v>
      </c>
    </row>
    <row r="180" spans="2:18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  <c r="P180" s="83">
        <v>35</v>
      </c>
      <c r="Q180" s="83">
        <v>38</v>
      </c>
      <c r="R180" s="83">
        <v>51</v>
      </c>
    </row>
    <row r="181" spans="2:18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  <c r="P181" s="83">
        <v>14</v>
      </c>
      <c r="Q181" s="83">
        <v>12</v>
      </c>
      <c r="R181" s="83">
        <v>17</v>
      </c>
    </row>
    <row r="182" spans="2:18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  <c r="P182" s="83">
        <v>154</v>
      </c>
      <c r="Q182" s="83">
        <v>168</v>
      </c>
      <c r="R182" s="83">
        <v>163</v>
      </c>
    </row>
    <row r="183" spans="2:18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  <c r="P183" s="83">
        <v>7</v>
      </c>
      <c r="Q183" s="83">
        <v>4</v>
      </c>
      <c r="R183" s="83">
        <v>3</v>
      </c>
    </row>
    <row r="184" spans="2:18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  <c r="P184" s="83">
        <v>7</v>
      </c>
      <c r="Q184" s="83">
        <v>4</v>
      </c>
      <c r="R184" s="83">
        <v>6</v>
      </c>
    </row>
    <row r="185" spans="2:18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  <c r="P185" s="83">
        <v>14</v>
      </c>
      <c r="Q185" s="83">
        <v>15</v>
      </c>
      <c r="R185" s="83">
        <v>11</v>
      </c>
    </row>
    <row r="186" spans="2:18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  <c r="P186" s="83">
        <v>2</v>
      </c>
      <c r="Q186" s="83">
        <v>6</v>
      </c>
      <c r="R186" s="83">
        <v>3</v>
      </c>
    </row>
    <row r="187" spans="2:18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  <c r="P187" s="83">
        <v>44</v>
      </c>
      <c r="Q187" s="83">
        <v>42</v>
      </c>
      <c r="R187" s="83">
        <v>48</v>
      </c>
    </row>
    <row r="188" spans="2:18" x14ac:dyDescent="0.2">
      <c r="B188" s="84" t="s">
        <v>309</v>
      </c>
      <c r="C188" s="149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  <c r="P188" s="83">
        <v>15</v>
      </c>
      <c r="Q188" s="83">
        <v>8</v>
      </c>
      <c r="R188" s="83">
        <v>9</v>
      </c>
    </row>
    <row r="189" spans="2:18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  <c r="P189" s="83">
        <v>13</v>
      </c>
      <c r="Q189" s="83">
        <v>9</v>
      </c>
      <c r="R189" s="83">
        <v>9</v>
      </c>
    </row>
    <row r="190" spans="2:18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  <c r="P190" s="83">
        <v>3</v>
      </c>
      <c r="Q190" s="83">
        <v>3</v>
      </c>
      <c r="R190" s="83">
        <v>0</v>
      </c>
    </row>
    <row r="191" spans="2:18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  <c r="P191" s="83">
        <v>35</v>
      </c>
      <c r="Q191" s="83">
        <v>33</v>
      </c>
      <c r="R191" s="83">
        <v>30</v>
      </c>
    </row>
    <row r="192" spans="2:18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  <c r="P192" s="83">
        <v>67</v>
      </c>
      <c r="Q192" s="83">
        <v>76</v>
      </c>
      <c r="R192" s="83">
        <v>80</v>
      </c>
    </row>
    <row r="193" spans="2:18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  <c r="P193" s="83">
        <v>99</v>
      </c>
      <c r="Q193" s="83">
        <v>83</v>
      </c>
      <c r="R193" s="83">
        <v>97</v>
      </c>
    </row>
    <row r="194" spans="2:18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  <c r="P194" s="83">
        <v>19</v>
      </c>
      <c r="Q194" s="83">
        <v>22</v>
      </c>
      <c r="R194" s="83">
        <v>15</v>
      </c>
    </row>
    <row r="195" spans="2:18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  <c r="P195" s="83">
        <v>62</v>
      </c>
      <c r="Q195" s="83">
        <v>65</v>
      </c>
      <c r="R195" s="83">
        <v>63</v>
      </c>
    </row>
    <row r="196" spans="2:18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  <c r="P196" s="83">
        <v>4</v>
      </c>
      <c r="Q196" s="83">
        <v>7</v>
      </c>
      <c r="R196" s="83">
        <v>5</v>
      </c>
    </row>
    <row r="197" spans="2:18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  <c r="P197" s="83">
        <v>52</v>
      </c>
      <c r="Q197" s="83">
        <v>43</v>
      </c>
      <c r="R197" s="83">
        <v>54</v>
      </c>
    </row>
    <row r="198" spans="2:18" x14ac:dyDescent="0.2">
      <c r="B198" s="84" t="s">
        <v>309</v>
      </c>
      <c r="C198" s="149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  <c r="P198" s="83">
        <v>46</v>
      </c>
      <c r="Q198" s="83">
        <v>35</v>
      </c>
      <c r="R198" s="83">
        <v>39</v>
      </c>
    </row>
    <row r="199" spans="2:18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  <c r="P199" s="83">
        <v>3</v>
      </c>
      <c r="Q199" s="83">
        <v>2</v>
      </c>
      <c r="R199" s="83">
        <v>0</v>
      </c>
    </row>
    <row r="200" spans="2:18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  <c r="P200" s="83">
        <v>45</v>
      </c>
      <c r="Q200" s="83">
        <v>55</v>
      </c>
      <c r="R200" s="83">
        <v>51</v>
      </c>
    </row>
    <row r="201" spans="2:18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  <c r="P201" s="83">
        <v>24</v>
      </c>
      <c r="Q201" s="83">
        <v>12</v>
      </c>
      <c r="R201" s="83">
        <v>22</v>
      </c>
    </row>
    <row r="202" spans="2:18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  <c r="P202" s="83">
        <v>30</v>
      </c>
      <c r="Q202" s="83">
        <v>39</v>
      </c>
      <c r="R202" s="83">
        <v>34</v>
      </c>
    </row>
    <row r="203" spans="2:18" x14ac:dyDescent="0.2">
      <c r="B203" s="84" t="s">
        <v>309</v>
      </c>
      <c r="C203" s="149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  <c r="P203" s="83">
        <v>50</v>
      </c>
      <c r="Q203" s="83">
        <v>53</v>
      </c>
      <c r="R203" s="83">
        <v>54</v>
      </c>
    </row>
    <row r="204" spans="2:18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  <c r="P204" s="83">
        <v>61</v>
      </c>
      <c r="Q204" s="83">
        <v>52</v>
      </c>
      <c r="R204" s="83">
        <v>60</v>
      </c>
    </row>
    <row r="205" spans="2:18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  <c r="P205" s="83">
        <v>139</v>
      </c>
      <c r="Q205" s="83">
        <v>132</v>
      </c>
      <c r="R205" s="83">
        <v>172</v>
      </c>
    </row>
    <row r="206" spans="2:18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  <c r="P206" s="83">
        <v>4</v>
      </c>
      <c r="Q206" s="83">
        <v>4</v>
      </c>
      <c r="R206" s="83">
        <v>5</v>
      </c>
    </row>
    <row r="207" spans="2:18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  <c r="P207" s="83">
        <v>37</v>
      </c>
      <c r="Q207" s="83">
        <v>39</v>
      </c>
      <c r="R207" s="83">
        <v>49</v>
      </c>
    </row>
    <row r="208" spans="2:18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  <c r="P208" s="83">
        <v>7</v>
      </c>
      <c r="Q208" s="83">
        <v>8</v>
      </c>
      <c r="R208" s="83">
        <v>9</v>
      </c>
    </row>
    <row r="209" spans="2:18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  <c r="P209" s="83">
        <v>4</v>
      </c>
      <c r="Q209" s="83">
        <v>5</v>
      </c>
      <c r="R209" s="83">
        <v>1</v>
      </c>
    </row>
    <row r="210" spans="2:18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  <c r="P210" s="83">
        <v>0</v>
      </c>
      <c r="Q210" s="83">
        <v>0</v>
      </c>
      <c r="R210" s="83">
        <v>0</v>
      </c>
    </row>
    <row r="211" spans="2:18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  <c r="P211" s="83">
        <v>13</v>
      </c>
      <c r="Q211" s="83">
        <v>19</v>
      </c>
      <c r="R211" s="83">
        <v>14</v>
      </c>
    </row>
    <row r="212" spans="2:18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8</v>
      </c>
      <c r="P212" s="83">
        <v>12</v>
      </c>
      <c r="Q212" s="83">
        <v>10</v>
      </c>
      <c r="R212" s="83">
        <v>16</v>
      </c>
    </row>
    <row r="213" spans="2:18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  <c r="P213" s="83">
        <v>10</v>
      </c>
      <c r="Q213" s="83">
        <v>2</v>
      </c>
      <c r="R213" s="83">
        <v>6</v>
      </c>
    </row>
    <row r="214" spans="2:18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139</v>
      </c>
      <c r="P214" s="83">
        <v>182</v>
      </c>
      <c r="Q214" s="83">
        <v>193</v>
      </c>
      <c r="R214" s="83">
        <v>198</v>
      </c>
    </row>
    <row r="215" spans="2:18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  <c r="P215" s="83">
        <v>48</v>
      </c>
      <c r="Q215" s="83">
        <v>49</v>
      </c>
      <c r="R215" s="83">
        <v>50</v>
      </c>
    </row>
    <row r="216" spans="2:18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  <c r="P216" s="83">
        <v>6</v>
      </c>
      <c r="Q216" s="83">
        <v>6</v>
      </c>
      <c r="R216" s="83">
        <v>13</v>
      </c>
    </row>
    <row r="217" spans="2:18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  <c r="P217" s="83">
        <v>0</v>
      </c>
      <c r="Q217" s="83">
        <v>0</v>
      </c>
      <c r="R217" s="83">
        <v>0</v>
      </c>
    </row>
    <row r="218" spans="2:18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  <c r="P218" s="83">
        <v>0</v>
      </c>
      <c r="Q218" s="83">
        <v>0</v>
      </c>
      <c r="R218" s="83">
        <v>0</v>
      </c>
    </row>
    <row r="219" spans="2:18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  <c r="P219" s="83">
        <v>0</v>
      </c>
      <c r="Q219" s="83">
        <v>0</v>
      </c>
      <c r="R219" s="83">
        <v>0</v>
      </c>
    </row>
    <row r="220" spans="2:18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  <c r="P220" s="83">
        <v>0</v>
      </c>
      <c r="Q220" s="83">
        <v>1</v>
      </c>
      <c r="R220" s="83">
        <v>0</v>
      </c>
    </row>
    <row r="221" spans="2:18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  <c r="P221" s="83">
        <v>35</v>
      </c>
      <c r="Q221" s="83">
        <v>50</v>
      </c>
      <c r="R221" s="83">
        <v>43</v>
      </c>
    </row>
    <row r="222" spans="2:18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  <c r="P222" s="83">
        <v>157</v>
      </c>
      <c r="Q222" s="83">
        <v>167</v>
      </c>
      <c r="R222" s="83">
        <v>191</v>
      </c>
    </row>
    <row r="223" spans="2:18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8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zoomScale="96" zoomScaleNormal="96" workbookViewId="0">
      <selection activeCell="A7" sqref="A7:XFD7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topLeftCell="A4" zoomScale="82" zoomScaleNormal="82" workbookViewId="0">
      <selection activeCell="H14" sqref="H14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90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6"/>
      <c r="D7" s="106"/>
      <c r="F7" s="196" t="s">
        <v>524</v>
      </c>
      <c r="G7" s="196"/>
      <c r="H7" s="197"/>
      <c r="I7" s="198" t="s">
        <v>525</v>
      </c>
      <c r="J7" s="199"/>
      <c r="K7" s="199"/>
      <c r="L7" s="200"/>
    </row>
    <row r="8" spans="2:14" ht="32" customHeight="1" x14ac:dyDescent="0.2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6"/>
      <c r="D7" s="106"/>
      <c r="F7" s="196" t="s">
        <v>524</v>
      </c>
      <c r="G7" s="196"/>
      <c r="H7" s="197"/>
      <c r="I7" s="198" t="s">
        <v>525</v>
      </c>
      <c r="J7" s="199"/>
      <c r="K7" s="199"/>
      <c r="L7" s="200"/>
    </row>
    <row r="8" spans="2:14" ht="32" customHeight="1" x14ac:dyDescent="0.2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6"/>
      <c r="D7" s="106"/>
    </row>
    <row r="8" spans="2:5" ht="32" customHeight="1" x14ac:dyDescent="0.2">
      <c r="B8" s="104" t="s">
        <v>379</v>
      </c>
      <c r="C8" s="104" t="s">
        <v>526</v>
      </c>
      <c r="D8" s="104" t="s">
        <v>555</v>
      </c>
      <c r="E8" s="163"/>
    </row>
    <row r="9" spans="2:5" ht="28.5" customHeight="1" x14ac:dyDescent="0.2">
      <c r="B9" s="162">
        <v>45444</v>
      </c>
      <c r="C9" s="155" t="s">
        <v>139</v>
      </c>
      <c r="D9" s="155">
        <v>1100</v>
      </c>
    </row>
    <row r="10" spans="2:5" ht="28.5" customHeight="1" x14ac:dyDescent="0.2">
      <c r="B10" s="162">
        <v>45536</v>
      </c>
      <c r="C10" s="155" t="s">
        <v>139</v>
      </c>
      <c r="D10" s="155">
        <v>1150</v>
      </c>
    </row>
    <row r="11" spans="2:5" ht="28.5" customHeight="1" x14ac:dyDescent="0.2">
      <c r="B11" s="162">
        <v>45627</v>
      </c>
      <c r="C11" s="155" t="s">
        <v>139</v>
      </c>
      <c r="D11" s="155">
        <v>1240</v>
      </c>
    </row>
    <row r="12" spans="2:5" ht="15.5" customHeight="1" x14ac:dyDescent="0.2">
      <c r="B12" s="162">
        <v>45717</v>
      </c>
      <c r="C12" s="155" t="s">
        <v>139</v>
      </c>
      <c r="D12" s="155">
        <v>1070</v>
      </c>
    </row>
    <row r="13" spans="2:5" x14ac:dyDescent="0.2">
      <c r="B13" s="162">
        <v>45809</v>
      </c>
      <c r="C13" s="155" t="s">
        <v>139</v>
      </c>
      <c r="D13" s="155">
        <v>1060</v>
      </c>
    </row>
    <row r="14" spans="2:5" x14ac:dyDescent="0.2">
      <c r="B14" s="162">
        <v>45901</v>
      </c>
      <c r="C14" s="155" t="s">
        <v>139</v>
      </c>
      <c r="D14" s="96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201" t="s">
        <v>535</v>
      </c>
      <c r="E7" s="202"/>
      <c r="F7" s="202"/>
      <c r="G7" s="203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4">
        <v>1</v>
      </c>
      <c r="D7" s="205"/>
      <c r="E7" s="204">
        <v>2</v>
      </c>
      <c r="F7" s="205"/>
      <c r="G7" s="204">
        <v>3</v>
      </c>
      <c r="H7" s="205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649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650</v>
      </c>
    </row>
    <row r="5" spans="2:4" s="1" customFormat="1" x14ac:dyDescent="0.2">
      <c r="B5" s="1" t="s">
        <v>89</v>
      </c>
    </row>
    <row r="7" spans="2:4" x14ac:dyDescent="0.2">
      <c r="B7" s="164" t="s">
        <v>379</v>
      </c>
      <c r="C7" s="165" t="s">
        <v>559</v>
      </c>
      <c r="D7" s="165" t="s">
        <v>560</v>
      </c>
    </row>
    <row r="8" spans="2:4" x14ac:dyDescent="0.2">
      <c r="B8" s="169" t="s">
        <v>561</v>
      </c>
      <c r="C8" s="166">
        <v>23280</v>
      </c>
      <c r="D8" s="166">
        <v>13918</v>
      </c>
    </row>
    <row r="9" spans="2:4" x14ac:dyDescent="0.2">
      <c r="B9" s="170">
        <v>43498</v>
      </c>
      <c r="C9" s="168">
        <v>24289</v>
      </c>
      <c r="D9" s="168">
        <v>16125</v>
      </c>
    </row>
    <row r="10" spans="2:4" x14ac:dyDescent="0.2">
      <c r="B10" s="171">
        <v>43558</v>
      </c>
      <c r="C10" s="166">
        <v>24609</v>
      </c>
      <c r="D10" s="166">
        <v>14320</v>
      </c>
    </row>
    <row r="11" spans="2:4" x14ac:dyDescent="0.2">
      <c r="B11" s="170">
        <v>43469</v>
      </c>
      <c r="C11" s="168">
        <v>24121</v>
      </c>
      <c r="D11" s="168">
        <v>13191</v>
      </c>
    </row>
    <row r="12" spans="2:4" x14ac:dyDescent="0.2">
      <c r="B12" s="171">
        <v>43560</v>
      </c>
      <c r="C12" s="166">
        <v>24694</v>
      </c>
      <c r="D12" s="166">
        <v>14681</v>
      </c>
    </row>
    <row r="13" spans="2:4" x14ac:dyDescent="0.2">
      <c r="B13" s="172" t="s">
        <v>562</v>
      </c>
      <c r="C13" s="168">
        <v>27434</v>
      </c>
      <c r="D13" s="168">
        <v>20665</v>
      </c>
    </row>
    <row r="14" spans="2:4" x14ac:dyDescent="0.2">
      <c r="B14" s="173" t="s">
        <v>563</v>
      </c>
      <c r="C14" s="166">
        <v>17817</v>
      </c>
      <c r="D14" s="166">
        <v>19868</v>
      </c>
    </row>
    <row r="15" spans="2:4" x14ac:dyDescent="0.2">
      <c r="B15" s="172" t="s">
        <v>564</v>
      </c>
      <c r="C15" s="168">
        <v>27909</v>
      </c>
      <c r="D15" s="168">
        <v>5754</v>
      </c>
    </row>
    <row r="16" spans="2:4" x14ac:dyDescent="0.2">
      <c r="B16" s="171">
        <v>44109</v>
      </c>
      <c r="C16" s="166">
        <v>28466</v>
      </c>
      <c r="D16" s="166">
        <v>6058</v>
      </c>
    </row>
    <row r="17" spans="2:4" x14ac:dyDescent="0.2">
      <c r="B17" s="172" t="s">
        <v>565</v>
      </c>
      <c r="C17" s="168">
        <v>40821</v>
      </c>
      <c r="D17" s="168">
        <v>8395</v>
      </c>
    </row>
    <row r="18" spans="2:4" x14ac:dyDescent="0.2">
      <c r="B18" s="173" t="s">
        <v>566</v>
      </c>
      <c r="C18" s="166">
        <v>37674</v>
      </c>
      <c r="D18" s="166">
        <v>10375</v>
      </c>
    </row>
    <row r="19" spans="2:4" x14ac:dyDescent="0.2">
      <c r="B19" s="170">
        <v>44145</v>
      </c>
      <c r="C19" s="168">
        <v>37519</v>
      </c>
      <c r="D19" s="168">
        <v>8427</v>
      </c>
    </row>
    <row r="20" spans="2:4" x14ac:dyDescent="0.2">
      <c r="B20" s="171">
        <v>43872</v>
      </c>
      <c r="C20" s="166">
        <v>36817</v>
      </c>
      <c r="D20" s="166">
        <v>6751</v>
      </c>
    </row>
    <row r="21" spans="2:4" x14ac:dyDescent="0.2">
      <c r="B21" s="170">
        <v>43901</v>
      </c>
      <c r="C21" s="168">
        <v>36748</v>
      </c>
      <c r="D21" s="168">
        <v>6648</v>
      </c>
    </row>
    <row r="22" spans="2:4" x14ac:dyDescent="0.2">
      <c r="B22" s="173" t="s">
        <v>567</v>
      </c>
      <c r="C22" s="166">
        <v>36811</v>
      </c>
      <c r="D22" s="166">
        <v>6082</v>
      </c>
    </row>
    <row r="23" spans="2:4" x14ac:dyDescent="0.2">
      <c r="B23" s="170">
        <v>43873</v>
      </c>
      <c r="C23" s="168">
        <v>35348</v>
      </c>
      <c r="D23" s="168">
        <v>5784</v>
      </c>
    </row>
    <row r="24" spans="2:4" x14ac:dyDescent="0.2">
      <c r="B24" s="173" t="s">
        <v>568</v>
      </c>
      <c r="C24" s="166">
        <v>33902</v>
      </c>
      <c r="D24" s="166">
        <v>5946</v>
      </c>
    </row>
    <row r="25" spans="2:4" x14ac:dyDescent="0.2">
      <c r="B25" s="170">
        <v>44531</v>
      </c>
      <c r="C25" s="168">
        <v>32538</v>
      </c>
      <c r="D25" s="168">
        <v>6074</v>
      </c>
    </row>
    <row r="26" spans="2:4" x14ac:dyDescent="0.2">
      <c r="B26" s="173" t="s">
        <v>569</v>
      </c>
      <c r="C26" s="166">
        <v>34274</v>
      </c>
      <c r="D26" s="166">
        <v>6032</v>
      </c>
    </row>
    <row r="27" spans="2:4" x14ac:dyDescent="0.2">
      <c r="B27" s="172" t="s">
        <v>570</v>
      </c>
      <c r="C27" s="168">
        <v>34849</v>
      </c>
      <c r="D27" s="168">
        <v>5934</v>
      </c>
    </row>
    <row r="28" spans="2:4" x14ac:dyDescent="0.2">
      <c r="B28" s="171">
        <v>44442</v>
      </c>
      <c r="C28" s="166">
        <v>34958</v>
      </c>
      <c r="D28" s="166">
        <v>6389</v>
      </c>
    </row>
    <row r="29" spans="2:4" x14ac:dyDescent="0.2">
      <c r="B29" s="172" t="s">
        <v>571</v>
      </c>
      <c r="C29" s="168">
        <v>33668</v>
      </c>
      <c r="D29" s="168">
        <v>6558</v>
      </c>
    </row>
    <row r="30" spans="2:4" x14ac:dyDescent="0.2">
      <c r="B30" s="171">
        <v>44351</v>
      </c>
      <c r="C30" s="166">
        <v>32335</v>
      </c>
      <c r="D30" s="166">
        <v>6807</v>
      </c>
    </row>
    <row r="31" spans="2:4" x14ac:dyDescent="0.2">
      <c r="B31" s="172" t="s">
        <v>572</v>
      </c>
      <c r="C31" s="168">
        <v>30988</v>
      </c>
      <c r="D31" s="168">
        <v>7172</v>
      </c>
    </row>
    <row r="32" spans="2:4" x14ac:dyDescent="0.2">
      <c r="B32" s="171">
        <v>44291</v>
      </c>
      <c r="C32" s="166">
        <v>30023</v>
      </c>
      <c r="D32" s="166">
        <v>7534</v>
      </c>
    </row>
    <row r="33" spans="2:4" x14ac:dyDescent="0.2">
      <c r="B33" s="172" t="s">
        <v>573</v>
      </c>
      <c r="C33" s="168">
        <v>29176</v>
      </c>
      <c r="D33" s="168">
        <v>8296</v>
      </c>
    </row>
    <row r="34" spans="2:4" x14ac:dyDescent="0.2">
      <c r="B34" s="171">
        <v>44202</v>
      </c>
      <c r="C34" s="166">
        <v>28180</v>
      </c>
      <c r="D34" s="166">
        <v>8784</v>
      </c>
    </row>
    <row r="35" spans="2:4" x14ac:dyDescent="0.2">
      <c r="B35" s="172" t="s">
        <v>574</v>
      </c>
      <c r="C35" s="168">
        <v>27553</v>
      </c>
      <c r="D35" s="168">
        <v>9407</v>
      </c>
    </row>
    <row r="36" spans="2:4" x14ac:dyDescent="0.2">
      <c r="B36" s="173" t="s">
        <v>575</v>
      </c>
      <c r="C36" s="166">
        <v>26546</v>
      </c>
      <c r="D36" s="166">
        <v>10160</v>
      </c>
    </row>
    <row r="37" spans="2:4" x14ac:dyDescent="0.2">
      <c r="B37" s="172" t="s">
        <v>576</v>
      </c>
      <c r="C37" s="168">
        <v>25539</v>
      </c>
      <c r="D37" s="168">
        <v>10859</v>
      </c>
    </row>
    <row r="38" spans="2:4" x14ac:dyDescent="0.2">
      <c r="B38" s="173" t="s">
        <v>577</v>
      </c>
      <c r="C38" s="166">
        <v>24136</v>
      </c>
      <c r="D38" s="166">
        <v>11871</v>
      </c>
    </row>
    <row r="39" spans="2:4" x14ac:dyDescent="0.2">
      <c r="B39" s="170">
        <v>44508</v>
      </c>
      <c r="C39" s="168">
        <v>22322</v>
      </c>
      <c r="D39" s="168">
        <v>13389</v>
      </c>
    </row>
    <row r="40" spans="2:4" x14ac:dyDescent="0.2">
      <c r="B40" s="173" t="s">
        <v>578</v>
      </c>
      <c r="C40" s="166">
        <v>19422</v>
      </c>
      <c r="D40" s="166">
        <v>14653</v>
      </c>
    </row>
    <row r="41" spans="2:4" x14ac:dyDescent="0.2">
      <c r="B41" s="170">
        <v>44386</v>
      </c>
      <c r="C41" s="168">
        <v>16482</v>
      </c>
      <c r="D41" s="168">
        <v>15513</v>
      </c>
    </row>
    <row r="42" spans="2:4" x14ac:dyDescent="0.2">
      <c r="B42" s="173" t="s">
        <v>579</v>
      </c>
      <c r="C42" s="166">
        <v>14040</v>
      </c>
      <c r="D42" s="166">
        <v>15939</v>
      </c>
    </row>
    <row r="43" spans="2:4" x14ac:dyDescent="0.2">
      <c r="B43" s="170">
        <v>44326</v>
      </c>
      <c r="C43" s="168">
        <v>13021</v>
      </c>
      <c r="D43" s="168">
        <v>15645</v>
      </c>
    </row>
    <row r="44" spans="2:4" x14ac:dyDescent="0.2">
      <c r="B44" s="173" t="s">
        <v>580</v>
      </c>
      <c r="C44" s="166">
        <v>12212</v>
      </c>
      <c r="D44" s="166">
        <v>14982</v>
      </c>
    </row>
    <row r="45" spans="2:4" x14ac:dyDescent="0.2">
      <c r="B45" s="170">
        <v>44238</v>
      </c>
      <c r="C45" s="168">
        <v>11362</v>
      </c>
      <c r="D45" s="168">
        <v>13715</v>
      </c>
    </row>
    <row r="46" spans="2:4" x14ac:dyDescent="0.2">
      <c r="B46" s="173" t="s">
        <v>581</v>
      </c>
      <c r="C46" s="166">
        <v>11531</v>
      </c>
      <c r="D46" s="166">
        <v>12778</v>
      </c>
    </row>
    <row r="47" spans="2:4" x14ac:dyDescent="0.2">
      <c r="B47" s="172" t="s">
        <v>582</v>
      </c>
      <c r="C47" s="168">
        <v>11356</v>
      </c>
      <c r="D47" s="168">
        <v>11774</v>
      </c>
    </row>
    <row r="48" spans="2:4" x14ac:dyDescent="0.2">
      <c r="B48" s="173" t="s">
        <v>583</v>
      </c>
      <c r="C48" s="166">
        <v>10719</v>
      </c>
      <c r="D48" s="166">
        <v>11128</v>
      </c>
    </row>
    <row r="49" spans="2:4" x14ac:dyDescent="0.2">
      <c r="B49" s="172" t="s">
        <v>584</v>
      </c>
      <c r="C49" s="168">
        <v>9762</v>
      </c>
      <c r="D49" s="168">
        <v>10077</v>
      </c>
    </row>
    <row r="50" spans="2:4" x14ac:dyDescent="0.2">
      <c r="B50" s="171">
        <v>44866</v>
      </c>
      <c r="C50" s="166">
        <v>10840</v>
      </c>
      <c r="D50" s="166">
        <v>11393</v>
      </c>
    </row>
    <row r="51" spans="2:4" x14ac:dyDescent="0.2">
      <c r="B51" s="172" t="s">
        <v>585</v>
      </c>
      <c r="C51" s="168">
        <v>10999</v>
      </c>
      <c r="D51" s="168">
        <v>13103</v>
      </c>
    </row>
    <row r="52" spans="2:4" x14ac:dyDescent="0.2">
      <c r="B52" s="171">
        <v>44775</v>
      </c>
      <c r="C52" s="166">
        <v>10921</v>
      </c>
      <c r="D52" s="166">
        <v>13621</v>
      </c>
    </row>
    <row r="53" spans="2:4" x14ac:dyDescent="0.2">
      <c r="B53" s="172" t="s">
        <v>586</v>
      </c>
      <c r="C53" s="168">
        <v>10322</v>
      </c>
      <c r="D53" s="168">
        <v>13721</v>
      </c>
    </row>
    <row r="54" spans="2:4" x14ac:dyDescent="0.2">
      <c r="B54" s="171">
        <v>44776</v>
      </c>
      <c r="C54" s="166">
        <v>10553</v>
      </c>
      <c r="D54" s="166">
        <v>13581</v>
      </c>
    </row>
    <row r="55" spans="2:4" x14ac:dyDescent="0.2">
      <c r="B55" s="172" t="s">
        <v>587</v>
      </c>
      <c r="C55" s="168">
        <v>10317</v>
      </c>
      <c r="D55" s="168">
        <v>13403</v>
      </c>
    </row>
    <row r="56" spans="2:4" x14ac:dyDescent="0.2">
      <c r="B56" s="171">
        <v>44685</v>
      </c>
      <c r="C56" s="166">
        <v>10177</v>
      </c>
      <c r="D56" s="166">
        <v>13063</v>
      </c>
    </row>
    <row r="57" spans="2:4" x14ac:dyDescent="0.2">
      <c r="B57" s="172" t="s">
        <v>588</v>
      </c>
      <c r="C57" s="168">
        <v>10200</v>
      </c>
      <c r="D57" s="168">
        <v>12991</v>
      </c>
    </row>
    <row r="58" spans="2:4" x14ac:dyDescent="0.2">
      <c r="B58" s="171">
        <v>44625</v>
      </c>
      <c r="C58" s="166">
        <v>10188</v>
      </c>
      <c r="D58" s="166">
        <v>13197</v>
      </c>
    </row>
    <row r="59" spans="2:4" x14ac:dyDescent="0.2">
      <c r="B59" s="172" t="s">
        <v>589</v>
      </c>
      <c r="C59" s="168">
        <v>10825</v>
      </c>
      <c r="D59" s="168">
        <v>13715</v>
      </c>
    </row>
    <row r="60" spans="2:4" x14ac:dyDescent="0.2">
      <c r="B60" s="173" t="s">
        <v>590</v>
      </c>
      <c r="C60" s="166">
        <v>10796</v>
      </c>
      <c r="D60" s="166">
        <v>14099</v>
      </c>
    </row>
    <row r="61" spans="2:4" x14ac:dyDescent="0.2">
      <c r="B61" s="172" t="s">
        <v>591</v>
      </c>
      <c r="C61" s="168">
        <v>11078</v>
      </c>
      <c r="D61" s="168">
        <v>14718</v>
      </c>
    </row>
    <row r="62" spans="2:4" x14ac:dyDescent="0.2">
      <c r="B62" s="171">
        <v>44902</v>
      </c>
      <c r="C62" s="166">
        <v>11001</v>
      </c>
      <c r="D62" s="166">
        <v>16491</v>
      </c>
    </row>
    <row r="63" spans="2:4" x14ac:dyDescent="0.2">
      <c r="B63" s="172" t="s">
        <v>592</v>
      </c>
      <c r="C63" s="168">
        <v>10614</v>
      </c>
      <c r="D63" s="168">
        <v>17901</v>
      </c>
    </row>
    <row r="64" spans="2:4" x14ac:dyDescent="0.2">
      <c r="B64" s="171">
        <v>44812</v>
      </c>
      <c r="C64" s="166">
        <v>9787</v>
      </c>
      <c r="D64" s="166">
        <v>20734</v>
      </c>
    </row>
    <row r="65" spans="2:4" x14ac:dyDescent="0.2">
      <c r="B65" s="172" t="s">
        <v>593</v>
      </c>
      <c r="C65" s="168">
        <v>8281</v>
      </c>
      <c r="D65" s="168">
        <v>23057</v>
      </c>
    </row>
    <row r="66" spans="2:4" x14ac:dyDescent="0.2">
      <c r="B66" s="171">
        <v>44721</v>
      </c>
      <c r="C66" s="166">
        <v>7104</v>
      </c>
      <c r="D66" s="166">
        <v>24495</v>
      </c>
    </row>
    <row r="67" spans="2:4" x14ac:dyDescent="0.2">
      <c r="B67" s="172" t="s">
        <v>594</v>
      </c>
      <c r="C67" s="168">
        <v>6274</v>
      </c>
      <c r="D67" s="168">
        <v>25295</v>
      </c>
    </row>
    <row r="68" spans="2:4" x14ac:dyDescent="0.2">
      <c r="B68" s="171">
        <v>44661</v>
      </c>
      <c r="C68" s="166">
        <v>5778</v>
      </c>
      <c r="D68" s="166">
        <v>24604</v>
      </c>
    </row>
    <row r="69" spans="2:4" x14ac:dyDescent="0.2">
      <c r="B69" s="172" t="s">
        <v>595</v>
      </c>
      <c r="C69" s="168">
        <v>6045</v>
      </c>
      <c r="D69" s="168">
        <v>22312</v>
      </c>
    </row>
    <row r="70" spans="2:4" x14ac:dyDescent="0.2">
      <c r="B70" s="171">
        <v>44572</v>
      </c>
      <c r="C70" s="166">
        <v>6409</v>
      </c>
      <c r="D70" s="166">
        <v>19487</v>
      </c>
    </row>
    <row r="71" spans="2:4" x14ac:dyDescent="0.2">
      <c r="B71" s="172" t="s">
        <v>596</v>
      </c>
      <c r="C71" s="168">
        <v>7425</v>
      </c>
      <c r="D71" s="168">
        <v>17313</v>
      </c>
    </row>
    <row r="72" spans="2:4" x14ac:dyDescent="0.2">
      <c r="B72" s="173" t="s">
        <v>597</v>
      </c>
      <c r="C72" s="166">
        <v>8059</v>
      </c>
      <c r="D72" s="166">
        <v>15750</v>
      </c>
    </row>
    <row r="73" spans="2:4" x14ac:dyDescent="0.2">
      <c r="B73" s="172" t="s">
        <v>598</v>
      </c>
      <c r="C73" s="168">
        <v>8538</v>
      </c>
      <c r="D73" s="168">
        <v>14319</v>
      </c>
    </row>
    <row r="74" spans="2:4" x14ac:dyDescent="0.2">
      <c r="B74" s="173" t="s">
        <v>599</v>
      </c>
      <c r="C74" s="166">
        <v>7931</v>
      </c>
      <c r="D74" s="166">
        <v>13090</v>
      </c>
    </row>
    <row r="75" spans="2:4" x14ac:dyDescent="0.2">
      <c r="B75" s="170">
        <v>45200</v>
      </c>
      <c r="C75" s="168">
        <v>8877</v>
      </c>
      <c r="D75" s="168">
        <v>14119</v>
      </c>
    </row>
    <row r="76" spans="2:4" x14ac:dyDescent="0.2">
      <c r="B76" s="173" t="s">
        <v>600</v>
      </c>
      <c r="C76" s="166">
        <v>9425</v>
      </c>
      <c r="D76" s="166">
        <v>15745</v>
      </c>
    </row>
    <row r="77" spans="2:4" x14ac:dyDescent="0.2">
      <c r="B77" s="170">
        <v>45109</v>
      </c>
      <c r="C77" s="168">
        <v>9899</v>
      </c>
      <c r="D77" s="168">
        <v>16079</v>
      </c>
    </row>
    <row r="78" spans="2:4" x14ac:dyDescent="0.2">
      <c r="B78" s="173" t="s">
        <v>601</v>
      </c>
      <c r="C78" s="166">
        <v>9991</v>
      </c>
      <c r="D78" s="166">
        <v>15819</v>
      </c>
    </row>
    <row r="79" spans="2:4" x14ac:dyDescent="0.2">
      <c r="B79" s="170">
        <v>45110</v>
      </c>
      <c r="C79" s="168">
        <v>10394</v>
      </c>
      <c r="D79" s="168">
        <v>15608</v>
      </c>
    </row>
    <row r="80" spans="2:4" x14ac:dyDescent="0.2">
      <c r="B80" s="173" t="s">
        <v>602</v>
      </c>
      <c r="C80" s="166">
        <v>10700</v>
      </c>
      <c r="D80" s="166">
        <v>16031</v>
      </c>
    </row>
    <row r="81" spans="2:4" x14ac:dyDescent="0.2">
      <c r="B81" s="170">
        <v>45020</v>
      </c>
      <c r="C81" s="168">
        <v>10924</v>
      </c>
      <c r="D81" s="168">
        <v>16135</v>
      </c>
    </row>
    <row r="82" spans="2:4" x14ac:dyDescent="0.2">
      <c r="B82" s="173" t="s">
        <v>603</v>
      </c>
      <c r="C82" s="166">
        <v>11132</v>
      </c>
      <c r="D82" s="166">
        <v>16200</v>
      </c>
    </row>
    <row r="83" spans="2:4" x14ac:dyDescent="0.2">
      <c r="B83" s="170">
        <v>44962</v>
      </c>
      <c r="C83" s="168">
        <v>11295</v>
      </c>
      <c r="D83" s="168">
        <v>16143</v>
      </c>
    </row>
    <row r="84" spans="2:4" x14ac:dyDescent="0.2">
      <c r="B84" s="173" t="s">
        <v>604</v>
      </c>
      <c r="C84" s="166">
        <v>12360</v>
      </c>
      <c r="D84" s="166">
        <v>16635</v>
      </c>
    </row>
    <row r="85" spans="2:4" x14ac:dyDescent="0.2">
      <c r="B85" s="172" t="s">
        <v>605</v>
      </c>
      <c r="C85" s="168">
        <v>12656</v>
      </c>
      <c r="D85" s="168">
        <v>17075</v>
      </c>
    </row>
    <row r="86" spans="2:4" x14ac:dyDescent="0.2">
      <c r="B86" s="173" t="s">
        <v>606</v>
      </c>
      <c r="C86" s="166">
        <v>13385</v>
      </c>
      <c r="D86" s="166">
        <v>17334</v>
      </c>
    </row>
    <row r="87" spans="2:4" x14ac:dyDescent="0.2">
      <c r="B87" s="172" t="s">
        <v>607</v>
      </c>
      <c r="C87" s="168">
        <v>13468</v>
      </c>
      <c r="D87" s="168">
        <v>17775</v>
      </c>
    </row>
    <row r="88" spans="2:4" x14ac:dyDescent="0.2">
      <c r="B88" s="171">
        <v>45237</v>
      </c>
      <c r="C88" s="166">
        <v>13777</v>
      </c>
      <c r="D88" s="166">
        <v>18720</v>
      </c>
    </row>
    <row r="89" spans="2:4" x14ac:dyDescent="0.2">
      <c r="B89" s="172" t="s">
        <v>608</v>
      </c>
      <c r="C89" s="168">
        <v>13575</v>
      </c>
      <c r="D89" s="168">
        <v>20239</v>
      </c>
    </row>
    <row r="90" spans="2:4" x14ac:dyDescent="0.2">
      <c r="B90" s="171">
        <v>45146</v>
      </c>
      <c r="C90" s="166">
        <v>13488</v>
      </c>
      <c r="D90" s="166">
        <v>22034</v>
      </c>
    </row>
    <row r="91" spans="2:4" x14ac:dyDescent="0.2">
      <c r="B91" s="172" t="s">
        <v>609</v>
      </c>
      <c r="C91" s="168">
        <v>12523</v>
      </c>
      <c r="D91" s="168">
        <v>23470</v>
      </c>
    </row>
    <row r="92" spans="2:4" x14ac:dyDescent="0.2">
      <c r="B92" s="171">
        <v>45055</v>
      </c>
      <c r="C92" s="166">
        <v>11323</v>
      </c>
      <c r="D92" s="166">
        <v>23557</v>
      </c>
    </row>
    <row r="93" spans="2:4" x14ac:dyDescent="0.2">
      <c r="B93" s="172" t="s">
        <v>610</v>
      </c>
      <c r="C93" s="168">
        <v>10980</v>
      </c>
      <c r="D93" s="168">
        <v>23045</v>
      </c>
    </row>
    <row r="94" spans="2:4" x14ac:dyDescent="0.2">
      <c r="B94" s="171">
        <v>44995</v>
      </c>
      <c r="C94" s="166">
        <v>10945</v>
      </c>
      <c r="D94" s="166">
        <v>21497</v>
      </c>
    </row>
    <row r="95" spans="2:4" x14ac:dyDescent="0.2">
      <c r="B95" s="172" t="s">
        <v>611</v>
      </c>
      <c r="C95" s="168">
        <v>11629</v>
      </c>
      <c r="D95" s="168">
        <v>19430</v>
      </c>
    </row>
    <row r="96" spans="2:4" x14ac:dyDescent="0.2">
      <c r="B96" s="173" t="s">
        <v>612</v>
      </c>
      <c r="C96" s="166">
        <v>12103</v>
      </c>
      <c r="D96" s="166">
        <v>17174</v>
      </c>
    </row>
    <row r="97" spans="2:4" x14ac:dyDescent="0.2">
      <c r="B97" s="172" t="s">
        <v>613</v>
      </c>
      <c r="C97" s="168">
        <v>13160</v>
      </c>
      <c r="D97" s="168">
        <v>15474</v>
      </c>
    </row>
    <row r="98" spans="2:4" x14ac:dyDescent="0.2">
      <c r="B98" s="173" t="s">
        <v>614</v>
      </c>
      <c r="C98" s="166">
        <v>14098</v>
      </c>
      <c r="D98" s="166">
        <v>14188</v>
      </c>
    </row>
    <row r="99" spans="2:4" x14ac:dyDescent="0.2">
      <c r="B99" s="172" t="s">
        <v>615</v>
      </c>
      <c r="C99" s="168">
        <v>14498</v>
      </c>
      <c r="D99" s="168">
        <v>13303</v>
      </c>
    </row>
    <row r="100" spans="2:4" x14ac:dyDescent="0.2">
      <c r="B100" s="171">
        <v>45292</v>
      </c>
      <c r="C100" s="166">
        <v>13090</v>
      </c>
      <c r="D100" s="166">
        <v>12021</v>
      </c>
    </row>
    <row r="101" spans="2:4" x14ac:dyDescent="0.2">
      <c r="B101" s="170">
        <v>45536</v>
      </c>
      <c r="C101" s="168">
        <v>14418</v>
      </c>
      <c r="D101" s="168">
        <v>12808</v>
      </c>
    </row>
    <row r="102" spans="2:4" x14ac:dyDescent="0.2">
      <c r="B102" s="173" t="s">
        <v>616</v>
      </c>
      <c r="C102" s="166">
        <v>15342</v>
      </c>
      <c r="D102" s="166">
        <v>13773</v>
      </c>
    </row>
    <row r="103" spans="2:4" x14ac:dyDescent="0.2">
      <c r="B103" s="170">
        <v>45445</v>
      </c>
      <c r="C103" s="168">
        <v>15952</v>
      </c>
      <c r="D103" s="168">
        <v>13478</v>
      </c>
    </row>
    <row r="104" spans="2:4" x14ac:dyDescent="0.2">
      <c r="B104" s="173" t="s">
        <v>617</v>
      </c>
      <c r="C104" s="166">
        <v>16326</v>
      </c>
      <c r="D104" s="166">
        <v>12938</v>
      </c>
    </row>
    <row r="105" spans="2:4" x14ac:dyDescent="0.2">
      <c r="B105" s="170">
        <v>45415</v>
      </c>
      <c r="C105" s="168">
        <v>16790</v>
      </c>
      <c r="D105" s="168">
        <v>12519</v>
      </c>
    </row>
    <row r="106" spans="2:4" x14ac:dyDescent="0.2">
      <c r="B106" s="173" t="s">
        <v>618</v>
      </c>
      <c r="C106" s="166">
        <v>17398</v>
      </c>
      <c r="D106" s="166">
        <v>12213</v>
      </c>
    </row>
    <row r="107" spans="2:4" x14ac:dyDescent="0.2">
      <c r="B107" s="170">
        <v>45326</v>
      </c>
      <c r="C107" s="168">
        <v>17232</v>
      </c>
      <c r="D107" s="168">
        <v>11788</v>
      </c>
    </row>
    <row r="108" spans="2:4" x14ac:dyDescent="0.2">
      <c r="B108" s="173" t="s">
        <v>619</v>
      </c>
      <c r="C108" s="166">
        <v>17769</v>
      </c>
      <c r="D108" s="166">
        <v>11763</v>
      </c>
    </row>
    <row r="109" spans="2:4" x14ac:dyDescent="0.2">
      <c r="B109" s="172" t="s">
        <v>620</v>
      </c>
      <c r="C109" s="168">
        <v>18484</v>
      </c>
      <c r="D109" s="168">
        <v>11701</v>
      </c>
    </row>
    <row r="110" spans="2:4" x14ac:dyDescent="0.2">
      <c r="B110" s="173" t="s">
        <v>621</v>
      </c>
      <c r="C110" s="166">
        <v>18910</v>
      </c>
      <c r="D110" s="166">
        <v>12006</v>
      </c>
    </row>
    <row r="111" spans="2:4" x14ac:dyDescent="0.2">
      <c r="B111" s="170">
        <v>45602</v>
      </c>
      <c r="C111" s="168">
        <v>19029</v>
      </c>
      <c r="D111" s="168">
        <v>12585</v>
      </c>
    </row>
    <row r="112" spans="2:4" x14ac:dyDescent="0.2">
      <c r="B112" s="173" t="s">
        <v>622</v>
      </c>
      <c r="C112" s="166">
        <v>19068</v>
      </c>
      <c r="D112" s="166">
        <v>12821</v>
      </c>
    </row>
    <row r="113" spans="2:4" x14ac:dyDescent="0.2">
      <c r="B113" s="170">
        <v>45542</v>
      </c>
      <c r="C113" s="168">
        <v>19164</v>
      </c>
      <c r="D113" s="168">
        <v>13634</v>
      </c>
    </row>
    <row r="114" spans="2:4" x14ac:dyDescent="0.2">
      <c r="B114" s="173" t="s">
        <v>623</v>
      </c>
      <c r="C114" s="166">
        <v>19253</v>
      </c>
      <c r="D114" s="166">
        <v>14665</v>
      </c>
    </row>
    <row r="115" spans="2:4" x14ac:dyDescent="0.2">
      <c r="B115" s="170">
        <v>45451</v>
      </c>
      <c r="C115" s="168">
        <v>18476</v>
      </c>
      <c r="D115" s="168">
        <v>15877</v>
      </c>
    </row>
    <row r="116" spans="2:4" x14ac:dyDescent="0.2">
      <c r="B116" s="173" t="s">
        <v>624</v>
      </c>
      <c r="C116" s="166">
        <v>17831</v>
      </c>
      <c r="D116" s="166">
        <v>16745</v>
      </c>
    </row>
    <row r="117" spans="2:4" x14ac:dyDescent="0.2">
      <c r="B117" s="172" t="s">
        <v>625</v>
      </c>
      <c r="C117" s="168">
        <v>16041</v>
      </c>
      <c r="D117" s="168">
        <v>15117</v>
      </c>
    </row>
    <row r="118" spans="2:4" x14ac:dyDescent="0.2">
      <c r="B118" s="171">
        <v>45301</v>
      </c>
      <c r="C118" s="166">
        <v>16142</v>
      </c>
      <c r="D118" s="166">
        <v>13942</v>
      </c>
    </row>
    <row r="119" spans="2:4" x14ac:dyDescent="0.2">
      <c r="B119" s="172" t="s">
        <v>626</v>
      </c>
      <c r="C119" s="168">
        <v>16279</v>
      </c>
      <c r="D119" s="168">
        <v>12479</v>
      </c>
    </row>
    <row r="120" spans="2:4" x14ac:dyDescent="0.2">
      <c r="B120" s="173" t="s">
        <v>627</v>
      </c>
      <c r="C120" s="166">
        <v>16485</v>
      </c>
      <c r="D120" s="166">
        <v>11773</v>
      </c>
    </row>
    <row r="121" spans="2:4" x14ac:dyDescent="0.2">
      <c r="B121" s="170">
        <v>45637</v>
      </c>
      <c r="C121" s="168">
        <v>17486</v>
      </c>
      <c r="D121" s="168">
        <v>10712</v>
      </c>
    </row>
    <row r="122" spans="2:4" x14ac:dyDescent="0.2">
      <c r="B122" s="173" t="s">
        <v>628</v>
      </c>
      <c r="C122" s="166">
        <v>18053</v>
      </c>
      <c r="D122" s="166">
        <v>9564</v>
      </c>
    </row>
    <row r="123" spans="2:4" x14ac:dyDescent="0.2">
      <c r="B123" s="170">
        <v>45577</v>
      </c>
      <c r="C123" s="168">
        <v>15048</v>
      </c>
      <c r="D123" s="168">
        <v>8829</v>
      </c>
    </row>
    <row r="124" spans="2:4" x14ac:dyDescent="0.2">
      <c r="B124" s="173" t="s">
        <v>629</v>
      </c>
      <c r="C124" s="166">
        <v>17385</v>
      </c>
      <c r="D124" s="166">
        <v>8338</v>
      </c>
    </row>
    <row r="125" spans="2:4" x14ac:dyDescent="0.2">
      <c r="B125" s="170">
        <v>45839</v>
      </c>
      <c r="C125" s="168">
        <v>17662</v>
      </c>
      <c r="D125" s="168">
        <v>8548</v>
      </c>
    </row>
    <row r="126" spans="2:4" x14ac:dyDescent="0.2">
      <c r="B126" s="173" t="s">
        <v>630</v>
      </c>
      <c r="C126" s="166">
        <v>19247</v>
      </c>
      <c r="D126" s="166">
        <v>9483</v>
      </c>
    </row>
    <row r="127" spans="2:4" x14ac:dyDescent="0.2">
      <c r="B127" s="170">
        <v>45749</v>
      </c>
      <c r="C127" s="168">
        <v>19531</v>
      </c>
      <c r="D127" s="168">
        <v>9566</v>
      </c>
    </row>
    <row r="128" spans="2:4" x14ac:dyDescent="0.2">
      <c r="B128" s="173" t="s">
        <v>631</v>
      </c>
      <c r="C128" s="166">
        <v>19687</v>
      </c>
      <c r="D128" s="166">
        <v>9353</v>
      </c>
    </row>
    <row r="129" spans="2:4" x14ac:dyDescent="0.2">
      <c r="B129" s="170">
        <v>45750</v>
      </c>
      <c r="C129" s="168">
        <v>19520</v>
      </c>
      <c r="D129" s="168">
        <v>9010</v>
      </c>
    </row>
    <row r="130" spans="2:4" x14ac:dyDescent="0.2">
      <c r="B130" s="173" t="s">
        <v>632</v>
      </c>
      <c r="C130" s="166">
        <v>20356</v>
      </c>
      <c r="D130" s="166">
        <v>9066</v>
      </c>
    </row>
    <row r="131" spans="2:4" x14ac:dyDescent="0.2">
      <c r="B131" s="170">
        <v>45661</v>
      </c>
      <c r="C131" s="168">
        <v>20331</v>
      </c>
      <c r="D131" s="168">
        <v>8902</v>
      </c>
    </row>
    <row r="132" spans="2:4" x14ac:dyDescent="0.2">
      <c r="B132" s="173" t="s">
        <v>633</v>
      </c>
      <c r="C132" s="166">
        <v>20617</v>
      </c>
      <c r="D132" s="166">
        <v>8857</v>
      </c>
    </row>
    <row r="133" spans="2:4" x14ac:dyDescent="0.2">
      <c r="B133" s="170">
        <v>45813</v>
      </c>
      <c r="C133" s="168">
        <v>20630</v>
      </c>
      <c r="D133" s="168">
        <v>9097</v>
      </c>
    </row>
    <row r="134" spans="2:4" x14ac:dyDescent="0.2">
      <c r="B134" s="173" t="s">
        <v>634</v>
      </c>
      <c r="C134" s="166">
        <v>20534</v>
      </c>
      <c r="D134" s="166">
        <v>9248</v>
      </c>
    </row>
    <row r="135" spans="2:4" x14ac:dyDescent="0.2">
      <c r="B135" s="172" t="s">
        <v>635</v>
      </c>
      <c r="C135" s="168">
        <v>20834</v>
      </c>
      <c r="D135" s="168">
        <v>9363</v>
      </c>
    </row>
    <row r="136" spans="2:4" x14ac:dyDescent="0.2">
      <c r="B136" s="171">
        <v>45936</v>
      </c>
      <c r="C136" s="166">
        <v>21179</v>
      </c>
      <c r="D136" s="166">
        <v>9731</v>
      </c>
    </row>
    <row r="137" spans="2:4" x14ac:dyDescent="0.2">
      <c r="B137" s="172" t="s">
        <v>636</v>
      </c>
      <c r="C137" s="168">
        <v>21084</v>
      </c>
      <c r="D137" s="168">
        <v>10026</v>
      </c>
    </row>
    <row r="138" spans="2:4" x14ac:dyDescent="0.2">
      <c r="B138" s="171">
        <v>45876</v>
      </c>
      <c r="C138" s="166">
        <v>21394</v>
      </c>
      <c r="D138" s="166">
        <v>10509</v>
      </c>
    </row>
    <row r="139" spans="2:4" x14ac:dyDescent="0.2">
      <c r="B139" s="172" t="s">
        <v>637</v>
      </c>
      <c r="C139" s="168">
        <v>21478</v>
      </c>
      <c r="D139" s="168">
        <v>11032</v>
      </c>
    </row>
    <row r="140" spans="2:4" x14ac:dyDescent="0.2">
      <c r="B140" s="171">
        <v>45785</v>
      </c>
      <c r="C140" s="166">
        <v>21029</v>
      </c>
      <c r="D140" s="166">
        <v>12155</v>
      </c>
    </row>
    <row r="141" spans="2:4" x14ac:dyDescent="0.2">
      <c r="B141" s="172" t="s">
        <v>638</v>
      </c>
      <c r="C141" s="168">
        <v>19782</v>
      </c>
      <c r="D141" s="168">
        <v>12909</v>
      </c>
    </row>
    <row r="142" spans="2:4" x14ac:dyDescent="0.2">
      <c r="B142" s="171">
        <v>45697</v>
      </c>
      <c r="C142" s="166">
        <v>18396</v>
      </c>
      <c r="D142" s="166">
        <v>12755</v>
      </c>
    </row>
    <row r="143" spans="2:4" x14ac:dyDescent="0.2">
      <c r="B143" s="172" t="s">
        <v>639</v>
      </c>
      <c r="C143" s="168">
        <v>18125</v>
      </c>
      <c r="D143" s="168">
        <v>12087</v>
      </c>
    </row>
    <row r="144" spans="2:4" x14ac:dyDescent="0.2">
      <c r="B144" s="173" t="s">
        <v>640</v>
      </c>
      <c r="C144" s="166">
        <v>17476</v>
      </c>
      <c r="D144" s="166">
        <v>10620</v>
      </c>
    </row>
    <row r="145" spans="2:4" x14ac:dyDescent="0.2">
      <c r="B145" s="172" t="s">
        <v>641</v>
      </c>
      <c r="C145" s="168">
        <v>17818</v>
      </c>
      <c r="D145" s="168">
        <v>9063</v>
      </c>
    </row>
    <row r="146" spans="2:4" x14ac:dyDescent="0.2">
      <c r="B146" s="173" t="s">
        <v>642</v>
      </c>
      <c r="C146" s="166">
        <v>17946</v>
      </c>
      <c r="D146" s="166">
        <v>8371</v>
      </c>
    </row>
    <row r="147" spans="2:4" x14ac:dyDescent="0.2">
      <c r="B147" s="172" t="s">
        <v>643</v>
      </c>
      <c r="C147" s="168">
        <v>18973</v>
      </c>
      <c r="D147" s="168">
        <v>7658</v>
      </c>
    </row>
    <row r="148" spans="2:4" x14ac:dyDescent="0.2">
      <c r="B148" s="173" t="s">
        <v>644</v>
      </c>
      <c r="C148" s="166">
        <v>19430</v>
      </c>
      <c r="D148" s="166">
        <v>7287</v>
      </c>
    </row>
    <row r="149" spans="2:4" x14ac:dyDescent="0.2">
      <c r="B149" s="170">
        <v>45912</v>
      </c>
      <c r="C149" s="168">
        <v>19952</v>
      </c>
      <c r="D149" s="168">
        <v>6900</v>
      </c>
    </row>
    <row r="150" spans="2:4" x14ac:dyDescent="0.2">
      <c r="B150" s="173" t="s">
        <v>645</v>
      </c>
      <c r="C150" s="166">
        <v>17960</v>
      </c>
      <c r="D150" s="166">
        <v>6414</v>
      </c>
    </row>
    <row r="151" spans="2:4" x14ac:dyDescent="0.2">
      <c r="B151" s="170">
        <v>46174</v>
      </c>
      <c r="C151" s="168">
        <v>18524</v>
      </c>
      <c r="D151" s="168">
        <v>6797</v>
      </c>
    </row>
    <row r="152" spans="2:4" x14ac:dyDescent="0.2">
      <c r="B152" s="173" t="s">
        <v>646</v>
      </c>
      <c r="C152" s="166">
        <v>19781</v>
      </c>
      <c r="D152" s="166">
        <v>7712</v>
      </c>
    </row>
    <row r="153" spans="2:4" x14ac:dyDescent="0.2">
      <c r="B153" s="172" t="s">
        <v>647</v>
      </c>
      <c r="C153" s="168">
        <v>20392</v>
      </c>
      <c r="D153" s="168">
        <v>7910</v>
      </c>
    </row>
    <row r="154" spans="2:4" x14ac:dyDescent="0.2">
      <c r="B154" s="173" t="s">
        <v>648</v>
      </c>
      <c r="C154" s="167">
        <v>20392</v>
      </c>
      <c r="D154" s="167">
        <v>7589</v>
      </c>
    </row>
    <row r="155" spans="2:4" x14ac:dyDescent="0.2">
      <c r="B155" s="170">
        <v>46084</v>
      </c>
      <c r="C155" s="168">
        <v>19945</v>
      </c>
      <c r="D155" s="168">
        <v>7541</v>
      </c>
    </row>
    <row r="156" spans="2:4" x14ac:dyDescent="0.2">
      <c r="B156" s="171">
        <v>46098</v>
      </c>
      <c r="C156" s="166">
        <v>20308</v>
      </c>
      <c r="D156" s="166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J99"/>
  <sheetViews>
    <sheetView zoomScale="75" zoomScaleNormal="90" workbookViewId="0">
      <pane ySplit="7" topLeftCell="A8" activePane="bottomLeft" state="frozen"/>
      <selection pane="bottomLeft" activeCell="H34" sqref="H34"/>
    </sheetView>
  </sheetViews>
  <sheetFormatPr baseColWidth="10" defaultRowHeight="16" x14ac:dyDescent="0.2"/>
  <cols>
    <col min="2" max="2" width="20" customWidth="1"/>
  </cols>
  <sheetData>
    <row r="2" spans="2:10" s="1" customFormat="1" x14ac:dyDescent="0.2">
      <c r="B2" s="1" t="s">
        <v>1</v>
      </c>
      <c r="C2" s="1" t="s">
        <v>656</v>
      </c>
    </row>
    <row r="3" spans="2:10" s="1" customFormat="1" x14ac:dyDescent="0.2">
      <c r="B3" s="1" t="s">
        <v>85</v>
      </c>
      <c r="C3" s="7" t="s">
        <v>657</v>
      </c>
      <c r="D3" s="7"/>
      <c r="E3" s="7"/>
      <c r="F3" s="7"/>
    </row>
    <row r="4" spans="2:10" s="1" customFormat="1" x14ac:dyDescent="0.2">
      <c r="B4" s="1" t="s">
        <v>87</v>
      </c>
      <c r="C4" s="1" t="s">
        <v>655</v>
      </c>
    </row>
    <row r="5" spans="2:10" s="1" customFormat="1" x14ac:dyDescent="0.2">
      <c r="B5" s="1" t="s">
        <v>89</v>
      </c>
    </row>
    <row r="6" spans="2:10" x14ac:dyDescent="0.2">
      <c r="C6" s="1" t="s">
        <v>139</v>
      </c>
      <c r="G6" t="s">
        <v>558</v>
      </c>
    </row>
    <row r="7" spans="2:10" x14ac:dyDescent="0.2">
      <c r="B7" s="174" t="s">
        <v>390</v>
      </c>
      <c r="C7" t="s">
        <v>651</v>
      </c>
      <c r="D7" t="s">
        <v>652</v>
      </c>
      <c r="E7" t="s">
        <v>653</v>
      </c>
      <c r="F7" t="s">
        <v>654</v>
      </c>
      <c r="G7" t="s">
        <v>651</v>
      </c>
      <c r="H7" t="s">
        <v>652</v>
      </c>
      <c r="I7" t="s">
        <v>653</v>
      </c>
      <c r="J7" t="s">
        <v>654</v>
      </c>
    </row>
    <row r="8" spans="2:10" x14ac:dyDescent="0.2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10" x14ac:dyDescent="0.2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10" x14ac:dyDescent="0.2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10" x14ac:dyDescent="0.2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10" x14ac:dyDescent="0.2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10" x14ac:dyDescent="0.2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10" x14ac:dyDescent="0.2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10" x14ac:dyDescent="0.2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10" x14ac:dyDescent="0.2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10" x14ac:dyDescent="0.2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10" x14ac:dyDescent="0.2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10" x14ac:dyDescent="0.2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10" x14ac:dyDescent="0.2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10" x14ac:dyDescent="0.2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10" x14ac:dyDescent="0.2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10" x14ac:dyDescent="0.2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10" x14ac:dyDescent="0.2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10" x14ac:dyDescent="0.2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10" x14ac:dyDescent="0.2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10" x14ac:dyDescent="0.2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10" x14ac:dyDescent="0.2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10" x14ac:dyDescent="0.2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10" x14ac:dyDescent="0.2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10" x14ac:dyDescent="0.2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10" x14ac:dyDescent="0.2">
      <c r="B32" t="s">
        <v>469</v>
      </c>
      <c r="C32">
        <v>2017</v>
      </c>
      <c r="D32">
        <v>3405</v>
      </c>
      <c r="E32">
        <v>1568</v>
      </c>
      <c r="F32">
        <v>6585</v>
      </c>
      <c r="G32" s="175">
        <v>4530</v>
      </c>
      <c r="H32" s="175">
        <v>22431</v>
      </c>
      <c r="I32" s="175">
        <v>5338</v>
      </c>
      <c r="J32" s="175">
        <v>25640</v>
      </c>
    </row>
    <row r="33" spans="2:10" x14ac:dyDescent="0.2">
      <c r="B33" t="s">
        <v>470</v>
      </c>
      <c r="C33">
        <v>1864</v>
      </c>
      <c r="D33">
        <v>3780</v>
      </c>
      <c r="E33">
        <v>1667</v>
      </c>
      <c r="F33">
        <v>5427</v>
      </c>
      <c r="G33" s="175">
        <v>4120</v>
      </c>
      <c r="H33" s="175">
        <v>24625</v>
      </c>
      <c r="I33" s="175">
        <v>5310</v>
      </c>
      <c r="J33" s="175">
        <v>21684</v>
      </c>
    </row>
    <row r="34" spans="2:10" x14ac:dyDescent="0.2">
      <c r="B34" t="s">
        <v>471</v>
      </c>
      <c r="C34">
        <v>1742</v>
      </c>
      <c r="D34">
        <v>3423</v>
      </c>
      <c r="E34">
        <v>1677</v>
      </c>
      <c r="F34">
        <v>6238</v>
      </c>
      <c r="G34" s="175">
        <v>3962</v>
      </c>
      <c r="H34" s="175">
        <v>23238</v>
      </c>
      <c r="I34" s="175">
        <v>5131</v>
      </c>
      <c r="J34" s="175">
        <v>23627</v>
      </c>
    </row>
    <row r="35" spans="2:10" x14ac:dyDescent="0.2">
      <c r="B35" t="s">
        <v>472</v>
      </c>
      <c r="C35">
        <v>1686</v>
      </c>
      <c r="D35">
        <v>2566</v>
      </c>
      <c r="E35">
        <v>1634</v>
      </c>
      <c r="F35">
        <v>5830</v>
      </c>
      <c r="G35" s="175">
        <v>3996</v>
      </c>
      <c r="H35" s="175">
        <v>16956</v>
      </c>
      <c r="I35" s="175">
        <v>5023</v>
      </c>
      <c r="J35" s="175">
        <v>22043</v>
      </c>
    </row>
    <row r="36" spans="2:10" x14ac:dyDescent="0.2">
      <c r="B36" t="s">
        <v>473</v>
      </c>
      <c r="C36">
        <v>2090</v>
      </c>
      <c r="D36">
        <v>2512</v>
      </c>
      <c r="E36">
        <v>2003</v>
      </c>
      <c r="F36">
        <v>6223</v>
      </c>
      <c r="G36" s="175">
        <v>4729</v>
      </c>
      <c r="H36" s="175">
        <v>17514</v>
      </c>
      <c r="I36" s="175">
        <v>6038</v>
      </c>
      <c r="J36" s="175">
        <v>22979</v>
      </c>
    </row>
    <row r="37" spans="2:10" x14ac:dyDescent="0.2">
      <c r="B37" t="s">
        <v>474</v>
      </c>
      <c r="C37">
        <v>2192</v>
      </c>
      <c r="D37">
        <v>2382</v>
      </c>
      <c r="E37">
        <v>1854</v>
      </c>
      <c r="F37">
        <v>5118</v>
      </c>
      <c r="G37" s="175">
        <v>5063</v>
      </c>
      <c r="H37" s="175">
        <v>17173</v>
      </c>
      <c r="I37" s="175">
        <v>5654</v>
      </c>
      <c r="J37" s="175">
        <v>19391</v>
      </c>
    </row>
    <row r="38" spans="2:10" x14ac:dyDescent="0.2">
      <c r="B38" t="s">
        <v>475</v>
      </c>
      <c r="C38">
        <v>2386</v>
      </c>
      <c r="D38">
        <v>2590</v>
      </c>
      <c r="E38">
        <v>1772</v>
      </c>
      <c r="F38">
        <v>5528</v>
      </c>
      <c r="G38" s="175">
        <v>5572</v>
      </c>
      <c r="H38" s="175">
        <v>18997</v>
      </c>
      <c r="I38" s="175">
        <v>5513</v>
      </c>
      <c r="J38" s="175">
        <v>22028</v>
      </c>
    </row>
    <row r="39" spans="2:10" x14ac:dyDescent="0.2">
      <c r="B39" t="s">
        <v>476</v>
      </c>
      <c r="C39">
        <v>2935</v>
      </c>
      <c r="D39">
        <v>2304</v>
      </c>
      <c r="E39">
        <v>1822</v>
      </c>
      <c r="F39">
        <v>5520</v>
      </c>
      <c r="G39" s="175">
        <v>5690</v>
      </c>
      <c r="H39" s="175">
        <v>16711</v>
      </c>
      <c r="I39" s="175">
        <v>5199</v>
      </c>
      <c r="J39" s="175">
        <v>21283</v>
      </c>
    </row>
    <row r="40" spans="2:10" x14ac:dyDescent="0.2">
      <c r="B40" t="s">
        <v>477</v>
      </c>
      <c r="C40">
        <v>3031</v>
      </c>
      <c r="D40">
        <v>2505</v>
      </c>
      <c r="E40">
        <v>1929</v>
      </c>
      <c r="F40">
        <v>5838</v>
      </c>
      <c r="G40" s="175">
        <v>6339</v>
      </c>
      <c r="H40" s="175">
        <v>18266</v>
      </c>
      <c r="I40" s="175">
        <v>6011</v>
      </c>
      <c r="J40" s="175">
        <v>23065</v>
      </c>
    </row>
    <row r="41" spans="2:10" x14ac:dyDescent="0.2">
      <c r="B41" t="s">
        <v>478</v>
      </c>
      <c r="C41">
        <v>2777</v>
      </c>
      <c r="D41">
        <v>2268</v>
      </c>
      <c r="E41">
        <v>1802</v>
      </c>
      <c r="F41">
        <v>5061</v>
      </c>
      <c r="G41" s="175">
        <v>6074</v>
      </c>
      <c r="H41" s="175">
        <v>17062</v>
      </c>
      <c r="I41" s="175">
        <v>5298</v>
      </c>
      <c r="J41" s="175">
        <v>20453</v>
      </c>
    </row>
    <row r="42" spans="2:10" x14ac:dyDescent="0.2">
      <c r="B42" t="s">
        <v>479</v>
      </c>
      <c r="C42">
        <v>3372</v>
      </c>
      <c r="D42">
        <v>2381</v>
      </c>
      <c r="E42">
        <v>2003</v>
      </c>
      <c r="F42">
        <v>5848</v>
      </c>
      <c r="G42" s="175">
        <v>6774</v>
      </c>
      <c r="H42" s="175">
        <v>17484</v>
      </c>
      <c r="I42" s="175">
        <v>5524</v>
      </c>
      <c r="J42" s="175">
        <v>23747</v>
      </c>
    </row>
    <row r="43" spans="2:10" x14ac:dyDescent="0.2">
      <c r="B43" t="s">
        <v>480</v>
      </c>
      <c r="C43">
        <v>2850</v>
      </c>
      <c r="D43">
        <v>2038</v>
      </c>
      <c r="E43">
        <v>1820</v>
      </c>
      <c r="F43">
        <v>5588</v>
      </c>
      <c r="G43" s="175">
        <v>5937</v>
      </c>
      <c r="H43" s="175">
        <v>15352</v>
      </c>
      <c r="I43" s="175">
        <v>5095</v>
      </c>
      <c r="J43" s="175">
        <v>22254</v>
      </c>
    </row>
    <row r="44" spans="2:10" x14ac:dyDescent="0.2">
      <c r="B44" t="s">
        <v>481</v>
      </c>
      <c r="C44">
        <v>3530</v>
      </c>
      <c r="D44">
        <v>2181</v>
      </c>
      <c r="E44">
        <v>2045</v>
      </c>
      <c r="F44">
        <v>6179</v>
      </c>
      <c r="G44" s="175">
        <v>7028</v>
      </c>
      <c r="H44" s="175">
        <v>15775</v>
      </c>
      <c r="I44" s="175">
        <v>5968</v>
      </c>
      <c r="J44" s="175">
        <v>23969</v>
      </c>
    </row>
    <row r="45" spans="2:10" x14ac:dyDescent="0.2">
      <c r="B45" t="s">
        <v>482</v>
      </c>
      <c r="C45">
        <v>3967</v>
      </c>
      <c r="D45">
        <v>1813</v>
      </c>
      <c r="E45">
        <v>2070</v>
      </c>
      <c r="F45">
        <v>5000</v>
      </c>
      <c r="G45" s="175">
        <v>7619</v>
      </c>
      <c r="H45" s="175">
        <v>13638</v>
      </c>
      <c r="I45" s="175">
        <v>5476</v>
      </c>
      <c r="J45" s="175">
        <v>20152</v>
      </c>
    </row>
    <row r="46" spans="2:10" x14ac:dyDescent="0.2">
      <c r="B46" t="s">
        <v>483</v>
      </c>
      <c r="C46">
        <v>4369</v>
      </c>
      <c r="D46">
        <v>1856</v>
      </c>
      <c r="E46">
        <v>2134</v>
      </c>
      <c r="F46">
        <v>5960</v>
      </c>
      <c r="G46" s="175">
        <v>8161</v>
      </c>
      <c r="H46" s="175">
        <v>13219</v>
      </c>
      <c r="I46" s="175">
        <v>5742</v>
      </c>
      <c r="J46" s="175">
        <v>23541</v>
      </c>
    </row>
    <row r="47" spans="2:10" x14ac:dyDescent="0.2">
      <c r="B47" t="s">
        <v>484</v>
      </c>
      <c r="C47">
        <v>4194</v>
      </c>
      <c r="D47">
        <v>1750</v>
      </c>
      <c r="E47">
        <v>1833</v>
      </c>
      <c r="F47">
        <v>6135</v>
      </c>
      <c r="G47" s="175">
        <v>7766</v>
      </c>
      <c r="H47" s="175">
        <v>13150</v>
      </c>
      <c r="I47" s="175">
        <v>5207</v>
      </c>
      <c r="J47" s="175">
        <v>24527</v>
      </c>
    </row>
    <row r="48" spans="2:10" x14ac:dyDescent="0.2">
      <c r="B48" t="s">
        <v>485</v>
      </c>
      <c r="C48">
        <v>4933</v>
      </c>
      <c r="D48">
        <v>1760</v>
      </c>
      <c r="E48">
        <v>1941</v>
      </c>
      <c r="F48">
        <v>6414</v>
      </c>
      <c r="G48" s="175">
        <v>8680</v>
      </c>
      <c r="H48" s="175">
        <v>13457</v>
      </c>
      <c r="I48" s="175">
        <v>5662</v>
      </c>
      <c r="J48" s="175">
        <v>26478</v>
      </c>
    </row>
    <row r="49" spans="2:10" x14ac:dyDescent="0.2">
      <c r="B49" t="s">
        <v>486</v>
      </c>
      <c r="C49">
        <v>4492</v>
      </c>
      <c r="D49">
        <v>1662</v>
      </c>
      <c r="E49">
        <v>2149</v>
      </c>
      <c r="F49">
        <v>5664</v>
      </c>
      <c r="G49" s="175">
        <v>8512</v>
      </c>
      <c r="H49" s="175">
        <v>11958</v>
      </c>
      <c r="I49" s="175">
        <v>5899</v>
      </c>
      <c r="J49" s="175">
        <v>23433</v>
      </c>
    </row>
    <row r="50" spans="2:10" x14ac:dyDescent="0.2">
      <c r="B50" t="s">
        <v>487</v>
      </c>
      <c r="C50">
        <v>4558</v>
      </c>
      <c r="D50">
        <v>1891</v>
      </c>
      <c r="E50">
        <v>2011</v>
      </c>
      <c r="F50">
        <v>6580</v>
      </c>
      <c r="G50" s="175">
        <v>8480</v>
      </c>
      <c r="H50" s="175">
        <v>13272</v>
      </c>
      <c r="I50" s="175">
        <v>5547</v>
      </c>
      <c r="J50" s="175">
        <v>28749</v>
      </c>
    </row>
    <row r="51" spans="2:10" x14ac:dyDescent="0.2">
      <c r="B51" t="s">
        <v>488</v>
      </c>
      <c r="C51">
        <v>4063</v>
      </c>
      <c r="D51">
        <v>1646</v>
      </c>
      <c r="E51">
        <v>1905</v>
      </c>
      <c r="F51">
        <v>6869</v>
      </c>
      <c r="G51" s="175">
        <v>7690</v>
      </c>
      <c r="H51" s="175">
        <v>11329</v>
      </c>
      <c r="I51" s="175">
        <v>5367</v>
      </c>
      <c r="J51" s="175">
        <v>29233</v>
      </c>
    </row>
    <row r="52" spans="2:10" x14ac:dyDescent="0.2">
      <c r="B52" t="s">
        <v>489</v>
      </c>
      <c r="C52">
        <v>4606</v>
      </c>
      <c r="D52">
        <v>1614</v>
      </c>
      <c r="E52">
        <v>2145</v>
      </c>
      <c r="F52">
        <v>6683</v>
      </c>
      <c r="G52" s="175">
        <v>8840</v>
      </c>
      <c r="H52" s="175">
        <v>11806</v>
      </c>
      <c r="I52" s="175">
        <v>6283</v>
      </c>
      <c r="J52" s="175">
        <v>30163</v>
      </c>
    </row>
    <row r="53" spans="2:10" x14ac:dyDescent="0.2">
      <c r="B53" t="s">
        <v>490</v>
      </c>
      <c r="C53">
        <v>4629</v>
      </c>
      <c r="D53">
        <v>1425</v>
      </c>
      <c r="E53">
        <v>1962</v>
      </c>
      <c r="F53">
        <v>5318</v>
      </c>
      <c r="G53" s="175">
        <v>9062</v>
      </c>
      <c r="H53" s="175">
        <v>10015</v>
      </c>
      <c r="I53" s="175">
        <v>5688</v>
      </c>
      <c r="J53" s="175">
        <v>22310</v>
      </c>
    </row>
    <row r="54" spans="2:10" x14ac:dyDescent="0.2">
      <c r="B54" t="s">
        <v>491</v>
      </c>
      <c r="C54">
        <v>4557</v>
      </c>
      <c r="D54">
        <v>1224</v>
      </c>
      <c r="E54">
        <v>1949</v>
      </c>
      <c r="F54">
        <v>6016</v>
      </c>
      <c r="G54" s="175">
        <v>9031</v>
      </c>
      <c r="H54" s="175">
        <v>9049</v>
      </c>
      <c r="I54" s="175">
        <v>5521</v>
      </c>
      <c r="J54" s="175">
        <v>24856</v>
      </c>
    </row>
    <row r="55" spans="2:10" x14ac:dyDescent="0.2">
      <c r="B55" t="s">
        <v>492</v>
      </c>
      <c r="C55">
        <v>4296</v>
      </c>
      <c r="D55">
        <v>1012</v>
      </c>
      <c r="E55">
        <v>1574</v>
      </c>
      <c r="F55">
        <v>5760</v>
      </c>
      <c r="G55" s="175">
        <v>8388</v>
      </c>
      <c r="H55" s="175">
        <v>7402</v>
      </c>
      <c r="I55" s="175">
        <v>4948</v>
      </c>
      <c r="J55" s="175">
        <v>23447</v>
      </c>
    </row>
    <row r="56" spans="2:10" x14ac:dyDescent="0.2">
      <c r="B56" t="s">
        <v>493</v>
      </c>
      <c r="C56">
        <v>4923</v>
      </c>
      <c r="D56">
        <v>666</v>
      </c>
      <c r="E56">
        <v>1712</v>
      </c>
      <c r="F56">
        <v>6206</v>
      </c>
      <c r="G56" s="175">
        <v>9296</v>
      </c>
      <c r="H56" s="175">
        <v>5224</v>
      </c>
      <c r="I56" s="175">
        <v>5365</v>
      </c>
      <c r="J56" s="175">
        <v>25940</v>
      </c>
    </row>
    <row r="57" spans="2:10" x14ac:dyDescent="0.2">
      <c r="B57" t="s">
        <v>494</v>
      </c>
      <c r="C57">
        <v>5124</v>
      </c>
      <c r="D57">
        <v>628</v>
      </c>
      <c r="E57">
        <v>1622</v>
      </c>
      <c r="F57">
        <v>5141</v>
      </c>
      <c r="G57" s="175">
        <v>9848</v>
      </c>
      <c r="H57" s="175">
        <v>4515</v>
      </c>
      <c r="I57" s="175">
        <v>4885</v>
      </c>
      <c r="J57" s="175">
        <v>20242</v>
      </c>
    </row>
    <row r="58" spans="2:10" x14ac:dyDescent="0.2">
      <c r="B58" t="s">
        <v>495</v>
      </c>
      <c r="C58">
        <v>4877</v>
      </c>
      <c r="D58">
        <v>602</v>
      </c>
      <c r="E58">
        <v>1632</v>
      </c>
      <c r="F58">
        <v>5206</v>
      </c>
      <c r="G58" s="175">
        <v>9681</v>
      </c>
      <c r="H58" s="175">
        <v>4653</v>
      </c>
      <c r="I58" s="175">
        <v>5073</v>
      </c>
      <c r="J58" s="175">
        <v>22431</v>
      </c>
    </row>
    <row r="59" spans="2:10" x14ac:dyDescent="0.2">
      <c r="B59" t="s">
        <v>496</v>
      </c>
      <c r="C59">
        <v>4377</v>
      </c>
      <c r="D59">
        <v>563</v>
      </c>
      <c r="E59">
        <v>1546</v>
      </c>
      <c r="F59">
        <v>5284</v>
      </c>
      <c r="G59" s="175">
        <v>8867</v>
      </c>
      <c r="H59" s="175">
        <v>4046</v>
      </c>
      <c r="I59" s="175">
        <v>4712</v>
      </c>
      <c r="J59" s="175">
        <v>21699</v>
      </c>
    </row>
    <row r="60" spans="2:10" x14ac:dyDescent="0.2">
      <c r="B60" t="s">
        <v>497</v>
      </c>
      <c r="C60">
        <v>4254</v>
      </c>
      <c r="D60">
        <v>583</v>
      </c>
      <c r="E60">
        <v>1681</v>
      </c>
      <c r="F60">
        <v>5524</v>
      </c>
      <c r="G60" s="175">
        <v>8699</v>
      </c>
      <c r="H60" s="175">
        <v>4403</v>
      </c>
      <c r="I60" s="175">
        <v>5006</v>
      </c>
      <c r="J60" s="175">
        <v>22921</v>
      </c>
    </row>
    <row r="61" spans="2:10" x14ac:dyDescent="0.2">
      <c r="B61" t="s">
        <v>498</v>
      </c>
      <c r="C61">
        <v>4402</v>
      </c>
      <c r="D61">
        <v>627</v>
      </c>
      <c r="E61">
        <v>1697</v>
      </c>
      <c r="F61">
        <v>4527</v>
      </c>
      <c r="G61" s="175">
        <v>9330</v>
      </c>
      <c r="H61" s="175">
        <v>4088</v>
      </c>
      <c r="I61" s="175">
        <v>4960</v>
      </c>
      <c r="J61" s="175">
        <v>18500</v>
      </c>
    </row>
    <row r="62" spans="2:10" x14ac:dyDescent="0.2">
      <c r="B62" t="s">
        <v>499</v>
      </c>
      <c r="C62">
        <v>3782</v>
      </c>
      <c r="D62">
        <v>662</v>
      </c>
      <c r="E62">
        <v>1800</v>
      </c>
      <c r="F62">
        <v>4646</v>
      </c>
      <c r="G62" s="175">
        <v>8342</v>
      </c>
      <c r="H62" s="175">
        <v>4131</v>
      </c>
      <c r="I62" s="175">
        <v>4975</v>
      </c>
      <c r="J62" s="175">
        <v>19754</v>
      </c>
    </row>
    <row r="63" spans="2:10" x14ac:dyDescent="0.2">
      <c r="B63" t="s">
        <v>500</v>
      </c>
      <c r="C63">
        <v>3168</v>
      </c>
      <c r="D63">
        <v>698</v>
      </c>
      <c r="E63">
        <v>1571</v>
      </c>
      <c r="F63">
        <v>4249</v>
      </c>
      <c r="G63" s="175">
        <v>7151</v>
      </c>
      <c r="H63" s="175">
        <v>4446</v>
      </c>
      <c r="I63" s="175">
        <v>4737</v>
      </c>
      <c r="J63" s="175">
        <v>17816</v>
      </c>
    </row>
    <row r="64" spans="2:10" x14ac:dyDescent="0.2">
      <c r="B64" t="s">
        <v>501</v>
      </c>
      <c r="C64">
        <v>3288</v>
      </c>
      <c r="D64">
        <v>769</v>
      </c>
      <c r="E64">
        <v>1647</v>
      </c>
      <c r="F64">
        <v>4773</v>
      </c>
      <c r="G64" s="175">
        <v>7533</v>
      </c>
      <c r="H64" s="175">
        <v>5156</v>
      </c>
      <c r="I64" s="175">
        <v>5293</v>
      </c>
      <c r="J64" s="175">
        <v>20952</v>
      </c>
    </row>
    <row r="65" spans="2:10" x14ac:dyDescent="0.2">
      <c r="B65" t="s">
        <v>502</v>
      </c>
      <c r="C65">
        <v>3197</v>
      </c>
      <c r="D65">
        <v>763</v>
      </c>
      <c r="E65">
        <v>1620</v>
      </c>
      <c r="F65">
        <v>3853</v>
      </c>
      <c r="G65" s="175">
        <v>7712</v>
      </c>
      <c r="H65" s="175">
        <v>4800</v>
      </c>
      <c r="I65" s="175">
        <v>5166</v>
      </c>
      <c r="J65" s="175">
        <v>17863</v>
      </c>
    </row>
    <row r="66" spans="2:10" x14ac:dyDescent="0.2">
      <c r="B66" t="s">
        <v>503</v>
      </c>
      <c r="C66">
        <v>3028</v>
      </c>
      <c r="D66">
        <v>740</v>
      </c>
      <c r="E66">
        <v>1606</v>
      </c>
      <c r="F66">
        <v>4508</v>
      </c>
      <c r="G66" s="175">
        <v>7398</v>
      </c>
      <c r="H66" s="175">
        <v>4435</v>
      </c>
      <c r="I66" s="175">
        <v>5202</v>
      </c>
      <c r="J66" s="175">
        <v>20176</v>
      </c>
    </row>
    <row r="67" spans="2:10" x14ac:dyDescent="0.2">
      <c r="B67" t="s">
        <v>504</v>
      </c>
      <c r="C67">
        <v>2377</v>
      </c>
      <c r="D67">
        <v>653</v>
      </c>
      <c r="E67">
        <v>1542</v>
      </c>
      <c r="F67">
        <v>4282</v>
      </c>
      <c r="G67" s="175">
        <v>6181</v>
      </c>
      <c r="H67" s="175">
        <v>4029</v>
      </c>
      <c r="I67" s="175">
        <v>5066</v>
      </c>
      <c r="J67" s="175">
        <v>18742</v>
      </c>
    </row>
    <row r="68" spans="2:10" x14ac:dyDescent="0.2">
      <c r="B68" t="s">
        <v>505</v>
      </c>
      <c r="C68">
        <v>2318</v>
      </c>
      <c r="D68">
        <v>642</v>
      </c>
      <c r="E68">
        <v>1592</v>
      </c>
      <c r="F68">
        <v>4174</v>
      </c>
      <c r="G68" s="175">
        <v>5675</v>
      </c>
      <c r="H68" s="175">
        <v>4170</v>
      </c>
      <c r="I68" s="175">
        <v>5508</v>
      </c>
      <c r="J68" s="175">
        <v>19352</v>
      </c>
    </row>
    <row r="69" spans="2:10" x14ac:dyDescent="0.2">
      <c r="B69" t="s">
        <v>506</v>
      </c>
      <c r="C69">
        <v>2326</v>
      </c>
      <c r="D69">
        <v>653</v>
      </c>
      <c r="E69">
        <v>1827</v>
      </c>
      <c r="F69">
        <v>3370</v>
      </c>
      <c r="G69" s="175">
        <v>5979</v>
      </c>
      <c r="H69" s="175">
        <v>4149</v>
      </c>
      <c r="I69" s="175">
        <v>5807</v>
      </c>
      <c r="J69" s="175">
        <v>16506</v>
      </c>
    </row>
    <row r="70" spans="2:10" x14ac:dyDescent="0.2">
      <c r="B70" t="s">
        <v>507</v>
      </c>
      <c r="C70">
        <v>2366</v>
      </c>
      <c r="D70">
        <v>719</v>
      </c>
      <c r="E70">
        <v>1824</v>
      </c>
      <c r="F70">
        <v>3736</v>
      </c>
      <c r="G70" s="175">
        <v>5809</v>
      </c>
      <c r="H70" s="175">
        <v>4579</v>
      </c>
      <c r="I70" s="175">
        <v>5784</v>
      </c>
      <c r="J70" s="175">
        <v>18643</v>
      </c>
    </row>
    <row r="71" spans="2:10" x14ac:dyDescent="0.2">
      <c r="B71" t="s">
        <v>508</v>
      </c>
      <c r="C71">
        <v>1918</v>
      </c>
      <c r="D71">
        <v>838</v>
      </c>
      <c r="E71">
        <v>1787</v>
      </c>
      <c r="F71">
        <v>3417</v>
      </c>
      <c r="G71" s="175">
        <v>5063</v>
      </c>
      <c r="H71" s="175">
        <v>5255</v>
      </c>
      <c r="I71" s="175">
        <v>5527</v>
      </c>
      <c r="J71" s="175">
        <v>16964</v>
      </c>
    </row>
    <row r="72" spans="2:10" x14ac:dyDescent="0.2">
      <c r="B72" t="s">
        <v>509</v>
      </c>
      <c r="C72">
        <v>1819</v>
      </c>
      <c r="D72">
        <v>936</v>
      </c>
      <c r="E72">
        <v>1891</v>
      </c>
      <c r="F72">
        <v>3630</v>
      </c>
      <c r="G72" s="175">
        <v>4714</v>
      </c>
      <c r="H72" s="175">
        <v>5748</v>
      </c>
      <c r="I72" s="175">
        <v>6029</v>
      </c>
      <c r="J72" s="175">
        <v>18266</v>
      </c>
    </row>
    <row r="73" spans="2:10" x14ac:dyDescent="0.2">
      <c r="B73" t="s">
        <v>510</v>
      </c>
      <c r="C73">
        <v>1973</v>
      </c>
      <c r="D73">
        <v>965</v>
      </c>
      <c r="E73">
        <v>1837</v>
      </c>
      <c r="F73">
        <v>2984</v>
      </c>
      <c r="G73" s="175">
        <v>4850</v>
      </c>
      <c r="H73" s="175">
        <v>5797</v>
      </c>
      <c r="I73" s="175">
        <v>5862</v>
      </c>
      <c r="J73" s="175">
        <v>14857</v>
      </c>
    </row>
    <row r="74" spans="2:10" x14ac:dyDescent="0.2">
      <c r="B74" t="s">
        <v>511</v>
      </c>
      <c r="C74">
        <v>1685</v>
      </c>
      <c r="D74">
        <v>1090</v>
      </c>
      <c r="E74">
        <v>1749</v>
      </c>
      <c r="F74">
        <v>3270</v>
      </c>
      <c r="G74" s="175">
        <v>4591</v>
      </c>
      <c r="H74" s="175">
        <v>6546</v>
      </c>
      <c r="I74" s="175">
        <v>5813</v>
      </c>
      <c r="J74" s="175">
        <v>16823</v>
      </c>
    </row>
    <row r="75" spans="2:10" x14ac:dyDescent="0.2">
      <c r="B75" t="s">
        <v>512</v>
      </c>
      <c r="C75">
        <v>1763</v>
      </c>
      <c r="D75">
        <v>988</v>
      </c>
      <c r="E75">
        <v>1765</v>
      </c>
      <c r="F75">
        <v>2842</v>
      </c>
      <c r="G75" s="175">
        <v>4164</v>
      </c>
      <c r="H75" s="175">
        <v>5879</v>
      </c>
      <c r="I75" s="175">
        <v>5512</v>
      </c>
      <c r="J75" s="175">
        <v>14718</v>
      </c>
    </row>
    <row r="76" spans="2:10" x14ac:dyDescent="0.2">
      <c r="B76" t="s">
        <v>513</v>
      </c>
      <c r="C76">
        <v>1730</v>
      </c>
      <c r="D76">
        <v>803</v>
      </c>
      <c r="E76">
        <v>1645</v>
      </c>
      <c r="F76">
        <v>2632</v>
      </c>
      <c r="G76" s="175">
        <v>4169</v>
      </c>
      <c r="H76" s="175">
        <v>4700</v>
      </c>
      <c r="I76" s="175">
        <v>5684</v>
      </c>
      <c r="J76" s="175">
        <v>13553</v>
      </c>
    </row>
    <row r="77" spans="2:10" x14ac:dyDescent="0.2">
      <c r="B77" t="s">
        <v>514</v>
      </c>
      <c r="C77">
        <v>277</v>
      </c>
      <c r="D77">
        <v>70</v>
      </c>
      <c r="E77">
        <v>505</v>
      </c>
      <c r="F77">
        <v>444</v>
      </c>
      <c r="G77" s="175">
        <v>860</v>
      </c>
      <c r="H77" s="175">
        <v>151</v>
      </c>
      <c r="I77" s="175">
        <v>1276</v>
      </c>
      <c r="J77" s="175">
        <v>815</v>
      </c>
    </row>
    <row r="78" spans="2:10" x14ac:dyDescent="0.2">
      <c r="B78" t="s">
        <v>394</v>
      </c>
      <c r="C78">
        <v>476</v>
      </c>
      <c r="D78">
        <v>32</v>
      </c>
      <c r="E78">
        <v>518</v>
      </c>
      <c r="F78">
        <v>270</v>
      </c>
      <c r="G78" s="175">
        <v>1319</v>
      </c>
      <c r="H78" s="175">
        <v>107</v>
      </c>
      <c r="I78" s="175">
        <v>1646</v>
      </c>
      <c r="J78" s="175">
        <v>876</v>
      </c>
    </row>
    <row r="79" spans="2:10" x14ac:dyDescent="0.2">
      <c r="B79" t="s">
        <v>395</v>
      </c>
      <c r="C79">
        <v>732</v>
      </c>
      <c r="D79">
        <v>84</v>
      </c>
      <c r="E79">
        <v>1157</v>
      </c>
      <c r="F79">
        <v>473</v>
      </c>
      <c r="G79" s="175">
        <v>2392</v>
      </c>
      <c r="H79" s="175">
        <v>241</v>
      </c>
      <c r="I79" s="175">
        <v>3542</v>
      </c>
      <c r="J79" s="175">
        <v>2228</v>
      </c>
    </row>
    <row r="80" spans="2:10" x14ac:dyDescent="0.2">
      <c r="B80" t="s">
        <v>396</v>
      </c>
      <c r="C80">
        <v>342</v>
      </c>
      <c r="D80">
        <v>137</v>
      </c>
      <c r="E80">
        <v>865</v>
      </c>
      <c r="F80">
        <v>738</v>
      </c>
      <c r="G80" s="175">
        <v>954</v>
      </c>
      <c r="H80" s="175">
        <v>697</v>
      </c>
      <c r="I80" s="175">
        <v>2766</v>
      </c>
      <c r="J80" s="175">
        <v>2492</v>
      </c>
    </row>
    <row r="81" spans="2:10" x14ac:dyDescent="0.2">
      <c r="B81" t="s">
        <v>397</v>
      </c>
      <c r="C81">
        <v>439</v>
      </c>
      <c r="D81">
        <v>421</v>
      </c>
      <c r="E81">
        <v>900</v>
      </c>
      <c r="F81">
        <v>696</v>
      </c>
      <c r="G81" s="175">
        <v>1456</v>
      </c>
      <c r="H81" s="175">
        <v>2368</v>
      </c>
      <c r="I81" s="175">
        <v>2935</v>
      </c>
      <c r="J81" s="175">
        <v>2390</v>
      </c>
    </row>
    <row r="82" spans="2:10" x14ac:dyDescent="0.2">
      <c r="B82" t="s">
        <v>398</v>
      </c>
      <c r="C82">
        <v>576</v>
      </c>
      <c r="D82">
        <v>428</v>
      </c>
      <c r="E82">
        <v>1183</v>
      </c>
      <c r="F82">
        <v>945</v>
      </c>
      <c r="G82" s="175">
        <v>2037</v>
      </c>
      <c r="H82" s="175">
        <v>2663</v>
      </c>
      <c r="I82" s="175">
        <v>4253</v>
      </c>
      <c r="J82" s="175">
        <v>3608</v>
      </c>
    </row>
    <row r="83" spans="2:10" x14ac:dyDescent="0.2">
      <c r="B83" t="s">
        <v>399</v>
      </c>
      <c r="C83">
        <v>953</v>
      </c>
      <c r="D83">
        <v>429</v>
      </c>
      <c r="E83">
        <v>1670</v>
      </c>
      <c r="F83">
        <v>1136</v>
      </c>
      <c r="G83" s="175">
        <v>3607</v>
      </c>
      <c r="H83" s="175">
        <v>2432</v>
      </c>
      <c r="I83" s="175">
        <v>5806</v>
      </c>
      <c r="J83" s="175">
        <v>4711</v>
      </c>
    </row>
    <row r="84" spans="2:10" x14ac:dyDescent="0.2">
      <c r="B84" t="s">
        <v>400</v>
      </c>
      <c r="C84">
        <v>1533</v>
      </c>
      <c r="D84">
        <v>429</v>
      </c>
      <c r="E84">
        <v>1764</v>
      </c>
      <c r="F84">
        <v>1562</v>
      </c>
      <c r="G84" s="175">
        <v>5889</v>
      </c>
      <c r="H84" s="175">
        <v>2715</v>
      </c>
      <c r="I84" s="175">
        <v>6307</v>
      </c>
      <c r="J84" s="175">
        <v>6423</v>
      </c>
    </row>
    <row r="85" spans="2:10" x14ac:dyDescent="0.2">
      <c r="B85" t="s">
        <v>401</v>
      </c>
      <c r="C85">
        <v>1573</v>
      </c>
      <c r="D85">
        <v>563</v>
      </c>
      <c r="E85">
        <v>1776</v>
      </c>
      <c r="F85">
        <v>1355</v>
      </c>
      <c r="G85" s="175">
        <v>5540</v>
      </c>
      <c r="H85" s="175">
        <v>3286</v>
      </c>
      <c r="I85" s="175">
        <v>6151</v>
      </c>
      <c r="J85" s="175">
        <v>5847</v>
      </c>
    </row>
    <row r="86" spans="2:10" x14ac:dyDescent="0.2">
      <c r="B86" t="s">
        <v>402</v>
      </c>
      <c r="C86">
        <v>1951</v>
      </c>
      <c r="D86">
        <v>662</v>
      </c>
      <c r="E86">
        <v>2020</v>
      </c>
      <c r="F86">
        <v>1978</v>
      </c>
      <c r="G86" s="175">
        <v>6092</v>
      </c>
      <c r="H86" s="175">
        <v>3466</v>
      </c>
      <c r="I86" s="175">
        <v>6529</v>
      </c>
      <c r="J86" s="175">
        <v>7348</v>
      </c>
    </row>
    <row r="87" spans="2:10" x14ac:dyDescent="0.2">
      <c r="B87" t="s">
        <v>403</v>
      </c>
      <c r="C87">
        <v>1997</v>
      </c>
      <c r="D87">
        <v>538</v>
      </c>
      <c r="E87">
        <v>1968</v>
      </c>
      <c r="F87">
        <v>1865</v>
      </c>
      <c r="G87" s="175">
        <v>6101</v>
      </c>
      <c r="H87" s="175">
        <v>2992</v>
      </c>
      <c r="I87" s="175">
        <v>5991</v>
      </c>
      <c r="J87" s="175">
        <v>7383</v>
      </c>
    </row>
    <row r="88" spans="2:10" x14ac:dyDescent="0.2">
      <c r="B88" t="s">
        <v>404</v>
      </c>
      <c r="C88">
        <v>2331</v>
      </c>
      <c r="D88">
        <v>625</v>
      </c>
      <c r="E88">
        <v>2295</v>
      </c>
      <c r="F88">
        <v>2130</v>
      </c>
      <c r="G88" s="175">
        <v>6817</v>
      </c>
      <c r="H88" s="175">
        <v>3845</v>
      </c>
      <c r="I88" s="175">
        <v>7015</v>
      </c>
      <c r="J88" s="175">
        <v>8562</v>
      </c>
    </row>
    <row r="89" spans="2:10" x14ac:dyDescent="0.2">
      <c r="B89" t="s">
        <v>405</v>
      </c>
      <c r="C89">
        <v>2987</v>
      </c>
      <c r="D89">
        <v>748</v>
      </c>
      <c r="E89">
        <v>2477</v>
      </c>
      <c r="F89">
        <v>1964</v>
      </c>
      <c r="G89" s="175">
        <v>7488</v>
      </c>
      <c r="H89" s="175">
        <v>3733</v>
      </c>
      <c r="I89" s="175">
        <v>7083</v>
      </c>
      <c r="J89" s="175">
        <v>7340</v>
      </c>
    </row>
    <row r="90" spans="2:10" x14ac:dyDescent="0.2">
      <c r="B90" t="s">
        <v>406</v>
      </c>
      <c r="C90">
        <v>3179</v>
      </c>
      <c r="D90">
        <v>739</v>
      </c>
      <c r="E90">
        <v>2510</v>
      </c>
      <c r="F90">
        <v>2320</v>
      </c>
      <c r="G90" s="175">
        <v>8398</v>
      </c>
      <c r="H90" s="175">
        <v>3940</v>
      </c>
      <c r="I90" s="175">
        <v>7090</v>
      </c>
      <c r="J90" s="175">
        <v>8618</v>
      </c>
    </row>
    <row r="91" spans="2:10" x14ac:dyDescent="0.2">
      <c r="B91" t="s">
        <v>407</v>
      </c>
      <c r="C91">
        <v>2968</v>
      </c>
      <c r="D91">
        <v>779</v>
      </c>
      <c r="E91">
        <v>2556</v>
      </c>
      <c r="F91">
        <v>2193</v>
      </c>
      <c r="G91" s="175">
        <v>7527</v>
      </c>
      <c r="H91" s="175">
        <v>4112</v>
      </c>
      <c r="I91" s="175">
        <v>6961</v>
      </c>
      <c r="J91" s="175">
        <v>8288</v>
      </c>
    </row>
    <row r="92" spans="2:10" x14ac:dyDescent="0.2">
      <c r="B92" t="s">
        <v>408</v>
      </c>
      <c r="C92">
        <v>2928</v>
      </c>
      <c r="D92">
        <v>940</v>
      </c>
      <c r="E92">
        <v>2777</v>
      </c>
      <c r="F92">
        <v>2381</v>
      </c>
      <c r="G92" s="175">
        <v>7861</v>
      </c>
      <c r="H92" s="175">
        <v>4933</v>
      </c>
      <c r="I92" s="175">
        <v>7481</v>
      </c>
      <c r="J92" s="175">
        <v>8958</v>
      </c>
    </row>
    <row r="93" spans="2:10" x14ac:dyDescent="0.2">
      <c r="B93" t="s">
        <v>409</v>
      </c>
      <c r="C93">
        <v>3437</v>
      </c>
      <c r="D93">
        <v>932</v>
      </c>
      <c r="E93">
        <v>2918</v>
      </c>
      <c r="F93">
        <v>2145</v>
      </c>
      <c r="G93" s="175">
        <v>8317</v>
      </c>
      <c r="H93" s="175">
        <v>5079</v>
      </c>
      <c r="I93" s="175">
        <v>7415</v>
      </c>
      <c r="J93" s="175">
        <v>8235</v>
      </c>
    </row>
    <row r="94" spans="2:10" x14ac:dyDescent="0.2">
      <c r="B94" t="s">
        <v>410</v>
      </c>
      <c r="C94">
        <v>3201</v>
      </c>
      <c r="D94">
        <v>1203</v>
      </c>
      <c r="E94">
        <v>3048</v>
      </c>
      <c r="F94">
        <v>2588</v>
      </c>
      <c r="G94" s="175">
        <v>8419</v>
      </c>
      <c r="H94" s="175">
        <v>6136</v>
      </c>
      <c r="I94" s="175">
        <v>7546</v>
      </c>
      <c r="J94" s="175">
        <v>8870</v>
      </c>
    </row>
    <row r="95" spans="2:10" x14ac:dyDescent="0.2">
      <c r="B95" t="s">
        <v>411</v>
      </c>
      <c r="C95">
        <v>2980</v>
      </c>
      <c r="D95">
        <v>1055</v>
      </c>
      <c r="E95">
        <v>2731</v>
      </c>
      <c r="F95">
        <v>2773</v>
      </c>
      <c r="G95" s="175">
        <v>7688</v>
      </c>
      <c r="H95" s="175">
        <v>5683</v>
      </c>
      <c r="I95" s="175">
        <v>6854</v>
      </c>
      <c r="J95" s="175">
        <v>8919</v>
      </c>
    </row>
    <row r="96" spans="2:10" x14ac:dyDescent="0.2">
      <c r="B96" t="s">
        <v>412</v>
      </c>
      <c r="C96">
        <v>2632</v>
      </c>
      <c r="D96">
        <v>1128</v>
      </c>
      <c r="E96">
        <v>2549</v>
      </c>
      <c r="F96">
        <v>2638</v>
      </c>
      <c r="G96" s="175">
        <v>7352</v>
      </c>
      <c r="H96" s="175">
        <v>6368</v>
      </c>
      <c r="I96" s="175">
        <v>7100</v>
      </c>
      <c r="J96" s="175">
        <v>8985</v>
      </c>
    </row>
    <row r="97" spans="2:10" x14ac:dyDescent="0.2">
      <c r="B97" t="s">
        <v>413</v>
      </c>
      <c r="C97">
        <v>2926</v>
      </c>
      <c r="D97">
        <v>1103</v>
      </c>
      <c r="E97">
        <v>2572</v>
      </c>
      <c r="F97">
        <v>2222</v>
      </c>
      <c r="G97" s="175">
        <v>7269</v>
      </c>
      <c r="H97" s="175">
        <v>6222</v>
      </c>
      <c r="I97" s="175">
        <v>7020</v>
      </c>
      <c r="J97" s="175">
        <v>7493</v>
      </c>
    </row>
    <row r="98" spans="2:10" x14ac:dyDescent="0.2">
      <c r="B98" t="s">
        <v>414</v>
      </c>
      <c r="C98">
        <v>2682</v>
      </c>
      <c r="D98">
        <v>1073</v>
      </c>
      <c r="E98">
        <v>2590</v>
      </c>
      <c r="F98">
        <v>2564</v>
      </c>
      <c r="G98" s="175">
        <v>7124</v>
      </c>
      <c r="H98" s="175">
        <v>5828</v>
      </c>
      <c r="I98" s="175">
        <v>7056</v>
      </c>
      <c r="J98" s="175">
        <v>8599</v>
      </c>
    </row>
    <row r="99" spans="2:10" x14ac:dyDescent="0.2">
      <c r="B99" t="s">
        <v>415</v>
      </c>
      <c r="G99" s="176">
        <v>6367</v>
      </c>
      <c r="H99" s="176">
        <v>4193</v>
      </c>
      <c r="I99" s="176">
        <v>6638</v>
      </c>
      <c r="J99" s="176">
        <v>7924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2026-05-08T15:56:06Z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