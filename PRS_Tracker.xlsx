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2.xml" ContentType="application/vnd.openxmlformats-officedocument.themeOverrid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3.xml" ContentType="application/vnd.openxmlformats-officedocument.themeOverrid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4.xml" ContentType="application/vnd.openxmlformats-officedocument.themeOverrid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5.xml" ContentType="application/vnd.openxmlformats-officedocument.themeOverride+xml"/>
  <Override PartName="/xl/drawings/drawing1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6.xml" ContentType="application/vnd.openxmlformats-officedocument.themeOverride+xml"/>
  <Override PartName="/xl/drawings/drawing15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7.xml" ContentType="application/vnd.openxmlformats-officedocument.themeOverrid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8.xml" ContentType="application/vnd.openxmlformats-officedocument.themeOverride+xml"/>
  <Override PartName="/xl/drawings/drawing18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/>
  <mc:AlternateContent xmlns:mc="http://schemas.openxmlformats.org/markup-compatibility/2006">
    <mc:Choice Requires="x15">
      <x15ac:absPath xmlns:x15ac="http://schemas.microsoft.com/office/spreadsheetml/2010/11/ac" url="/Users/asdfgukyu/Desktop/GLA work/PRS tracker/"/>
    </mc:Choice>
  </mc:AlternateContent>
  <xr:revisionPtr revIDLastSave="0" documentId="13_ncr:1_{35AC4033-47FF-2B4F-8973-21BD9B651457}" xr6:coauthVersionLast="47" xr6:coauthVersionMax="47" xr10:uidLastSave="{00000000-0000-0000-0000-000000000000}"/>
  <bookViews>
    <workbookView xWindow="-1860" yWindow="-20600" windowWidth="27580" windowHeight="18880" tabRatio="881" firstSheet="11" activeTab="14" xr2:uid="{0CDC056E-74BF-4FCD-884D-8D881A8F06C9}"/>
  </bookViews>
  <sheets>
    <sheet name="Content" sheetId="1" r:id="rId1"/>
    <sheet name="Gaurantor EPLS" sheetId="18" r:id="rId2"/>
    <sheet name="Gaurantor EHS" sheetId="19" r:id="rId3"/>
    <sheet name="Households in PRS" sheetId="11" r:id="rId4"/>
    <sheet name="Household type by tenure" sheetId="20" r:id="rId5"/>
    <sheet name="Length of stay" sheetId="12" r:id="rId6"/>
    <sheet name="Category 1 hazard" sheetId="13" r:id="rId7"/>
    <sheet name="Type of lets" sheetId="14" r:id="rId8"/>
    <sheet name="Met Illegal eviction" sheetId="15" r:id="rId9"/>
    <sheet name="Landlord type" sheetId="16" r:id="rId10"/>
    <sheet name="Size of portfolio" sheetId="17" r:id="rId11"/>
    <sheet name="Citizen advice trends" sheetId="10" r:id="rId12"/>
    <sheet name="PIPR Annual change" sheetId="9" r:id="rId13"/>
    <sheet name="Rightmove Rental Price Tracker" sheetId="4" r:id="rId14"/>
    <sheet name="Homelet Rental Index" sheetId="5" r:id="rId15"/>
    <sheet name="RICS rental sentiment" sheetId="8" r:id="rId16"/>
    <sheet name="Buy to let mortgage" sheetId="2" r:id="rId17"/>
    <sheet name="Prevention duty by reason" sheetId="21" r:id="rId18"/>
    <sheet name="Relief duty by reason" sheetId="22" r:id="rId19"/>
    <sheet name="Prevention duty S21" sheetId="3" r:id="rId20"/>
    <sheet name="Rental supply rightmove" sheetId="6" r:id="rId21"/>
    <sheet name="Rental supply by price" sheetId="7" r:id="rId22"/>
    <sheet name="Spareroom Demand Supply" sheetId="23" r:id="rId23"/>
    <sheet name="Repossessions" sheetId="24" r:id="rId24"/>
  </sheets>
  <definedNames>
    <definedName name="_xlnm._FilterDatabase" localSheetId="6" hidden="1">'Category 1 hazard'!$B$7:$G$16</definedName>
    <definedName name="_xlnm._FilterDatabase" localSheetId="11" hidden="1">'Citizen advice trends'!$B$7:$O$272</definedName>
    <definedName name="_xlnm._FilterDatabase" localSheetId="0" hidden="1">Content!$B$2:$E$30</definedName>
    <definedName name="_xlnm._FilterDatabase" localSheetId="4" hidden="1">'Household type by tenure'!$B$7:$F$55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8" i="5" l="1"/>
  <c r="F149" i="5"/>
  <c r="F150" i="5"/>
  <c r="E148" i="5"/>
  <c r="E149" i="5"/>
  <c r="E150" i="5"/>
  <c r="I11" i="12"/>
  <c r="J11" i="12"/>
  <c r="K11" i="12"/>
  <c r="L11" i="12"/>
  <c r="I12" i="12"/>
  <c r="J12" i="12"/>
  <c r="K12" i="12"/>
  <c r="L12" i="12"/>
  <c r="I13" i="12"/>
  <c r="J13" i="12"/>
  <c r="K13" i="12"/>
  <c r="L13" i="12"/>
  <c r="I14" i="12"/>
  <c r="J14" i="12"/>
  <c r="K14" i="12"/>
  <c r="L14" i="12"/>
  <c r="I15" i="12"/>
  <c r="J15" i="12"/>
  <c r="K15" i="12"/>
  <c r="L15" i="12"/>
  <c r="I16" i="12"/>
  <c r="J16" i="12"/>
  <c r="K16" i="12"/>
  <c r="L16" i="12"/>
  <c r="I17" i="12"/>
  <c r="J17" i="12"/>
  <c r="K17" i="12"/>
  <c r="L17" i="12"/>
  <c r="I18" i="12"/>
  <c r="J18" i="12"/>
  <c r="K18" i="12"/>
  <c r="L18" i="12"/>
  <c r="I19" i="12"/>
  <c r="J19" i="12"/>
  <c r="K19" i="12"/>
  <c r="L19" i="12"/>
  <c r="I20" i="12"/>
  <c r="J20" i="12"/>
  <c r="K20" i="12"/>
  <c r="L20" i="12"/>
  <c r="H12" i="12"/>
  <c r="H13" i="12"/>
  <c r="H14" i="12"/>
  <c r="H15" i="12"/>
  <c r="H16" i="12"/>
  <c r="H17" i="12"/>
  <c r="H18" i="12"/>
  <c r="H19" i="12"/>
  <c r="H20" i="12"/>
  <c r="H11" i="12"/>
  <c r="C261" i="6"/>
  <c r="F117" i="7" l="1"/>
  <c r="D117" i="7"/>
  <c r="C260" i="6"/>
  <c r="C259" i="6"/>
  <c r="C258" i="6"/>
  <c r="C257" i="6"/>
  <c r="C256" i="6"/>
  <c r="C255" i="6"/>
  <c r="C254" i="6"/>
  <c r="C253" i="6"/>
  <c r="C252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F147" i="5" l="1"/>
  <c r="E147" i="5"/>
  <c r="F146" i="5"/>
  <c r="E146" i="5"/>
  <c r="F145" i="5"/>
  <c r="E145" i="5"/>
  <c r="F144" i="5"/>
  <c r="E144" i="5"/>
  <c r="F143" i="5"/>
  <c r="E143" i="5"/>
  <c r="F142" i="5"/>
  <c r="E142" i="5"/>
  <c r="F141" i="5"/>
  <c r="E141" i="5"/>
  <c r="F140" i="5"/>
  <c r="E140" i="5"/>
  <c r="F139" i="5"/>
  <c r="E139" i="5"/>
  <c r="F138" i="5"/>
  <c r="E138" i="5"/>
  <c r="F137" i="5"/>
  <c r="E137" i="5"/>
  <c r="F136" i="5"/>
  <c r="E136" i="5"/>
  <c r="F135" i="5"/>
  <c r="E135" i="5"/>
  <c r="F134" i="5"/>
  <c r="E134" i="5"/>
  <c r="F133" i="5"/>
  <c r="E133" i="5"/>
  <c r="F132" i="5"/>
  <c r="E132" i="5"/>
  <c r="F131" i="5"/>
  <c r="E131" i="5"/>
  <c r="F130" i="5"/>
  <c r="E130" i="5"/>
  <c r="F129" i="5"/>
  <c r="E129" i="5"/>
  <c r="F128" i="5"/>
  <c r="E128" i="5"/>
  <c r="F127" i="5"/>
  <c r="E127" i="5"/>
  <c r="F126" i="5"/>
  <c r="E126" i="5"/>
  <c r="F125" i="5"/>
  <c r="E125" i="5"/>
  <c r="F124" i="5"/>
  <c r="E124" i="5"/>
  <c r="F123" i="5"/>
  <c r="E123" i="5"/>
  <c r="F122" i="5"/>
  <c r="E122" i="5"/>
  <c r="F121" i="5"/>
  <c r="E121" i="5"/>
  <c r="F120" i="5"/>
  <c r="E120" i="5"/>
  <c r="F119" i="5"/>
  <c r="E119" i="5"/>
  <c r="F118" i="5"/>
  <c r="E118" i="5"/>
  <c r="F117" i="5"/>
  <c r="E117" i="5"/>
  <c r="F116" i="5"/>
  <c r="E116" i="5"/>
  <c r="F115" i="5"/>
  <c r="E115" i="5"/>
  <c r="F114" i="5"/>
  <c r="E114" i="5"/>
  <c r="F113" i="5"/>
  <c r="E113" i="5"/>
  <c r="F112" i="5"/>
  <c r="E112" i="5"/>
  <c r="F111" i="5"/>
  <c r="E111" i="5"/>
  <c r="F110" i="5"/>
  <c r="E110" i="5"/>
  <c r="F109" i="5"/>
  <c r="E109" i="5"/>
  <c r="F108" i="5"/>
  <c r="E108" i="5"/>
  <c r="F107" i="5"/>
  <c r="E107" i="5"/>
  <c r="F106" i="5"/>
  <c r="E106" i="5"/>
  <c r="F105" i="5"/>
  <c r="E105" i="5"/>
  <c r="F104" i="5"/>
  <c r="E104" i="5"/>
  <c r="F103" i="5"/>
  <c r="E103" i="5"/>
  <c r="F102" i="5"/>
  <c r="E102" i="5"/>
  <c r="F101" i="5"/>
  <c r="E101" i="5"/>
  <c r="F100" i="5"/>
  <c r="E100" i="5"/>
  <c r="F99" i="5"/>
  <c r="E99" i="5"/>
  <c r="F98" i="5"/>
  <c r="E98" i="5"/>
  <c r="F97" i="5"/>
  <c r="E97" i="5"/>
  <c r="F96" i="5"/>
  <c r="E96" i="5"/>
  <c r="F95" i="5"/>
  <c r="E95" i="5"/>
  <c r="F94" i="5"/>
  <c r="E94" i="5"/>
  <c r="F93" i="5"/>
  <c r="E93" i="5"/>
  <c r="F92" i="5"/>
  <c r="E92" i="5"/>
  <c r="F91" i="5"/>
  <c r="E91" i="5"/>
  <c r="F90" i="5"/>
  <c r="E90" i="5"/>
  <c r="F89" i="5"/>
  <c r="E89" i="5"/>
  <c r="F88" i="5"/>
  <c r="E88" i="5"/>
  <c r="F87" i="5"/>
  <c r="E87" i="5"/>
  <c r="F86" i="5"/>
  <c r="E86" i="5"/>
  <c r="F85" i="5"/>
  <c r="E85" i="5"/>
  <c r="F84" i="5"/>
  <c r="E84" i="5"/>
  <c r="F83" i="5"/>
  <c r="E83" i="5"/>
  <c r="F82" i="5"/>
  <c r="E82" i="5"/>
  <c r="F81" i="5"/>
  <c r="E81" i="5"/>
  <c r="F80" i="5"/>
  <c r="E80" i="5"/>
  <c r="F79" i="5"/>
  <c r="E79" i="5"/>
  <c r="F78" i="5"/>
  <c r="E78" i="5"/>
  <c r="F77" i="5"/>
  <c r="E77" i="5"/>
  <c r="F76" i="5"/>
  <c r="E76" i="5"/>
  <c r="F75" i="5"/>
  <c r="E75" i="5"/>
  <c r="F74" i="5"/>
  <c r="E74" i="5"/>
  <c r="F73" i="5"/>
  <c r="E73" i="5"/>
  <c r="F72" i="5"/>
  <c r="E72" i="5"/>
  <c r="F71" i="5"/>
  <c r="E71" i="5"/>
  <c r="F70" i="5"/>
  <c r="E70" i="5"/>
  <c r="F69" i="5"/>
  <c r="E69" i="5"/>
  <c r="F68" i="5"/>
  <c r="E68" i="5"/>
  <c r="F67" i="5"/>
  <c r="E67" i="5"/>
  <c r="F66" i="5"/>
  <c r="E66" i="5"/>
  <c r="F65" i="5"/>
  <c r="E65" i="5"/>
  <c r="F64" i="5"/>
  <c r="E64" i="5"/>
  <c r="F63" i="5"/>
  <c r="E63" i="5"/>
  <c r="F62" i="5"/>
  <c r="E62" i="5"/>
  <c r="F61" i="5"/>
  <c r="E61" i="5"/>
  <c r="F60" i="5"/>
  <c r="E60" i="5"/>
  <c r="F59" i="5"/>
  <c r="E59" i="5"/>
  <c r="F58" i="5"/>
  <c r="E58" i="5"/>
  <c r="F57" i="5"/>
  <c r="E57" i="5"/>
  <c r="F56" i="5"/>
  <c r="E56" i="5"/>
  <c r="F55" i="5"/>
  <c r="E55" i="5"/>
  <c r="F54" i="5"/>
  <c r="E54" i="5"/>
  <c r="F53" i="5"/>
  <c r="E53" i="5"/>
  <c r="F52" i="5"/>
  <c r="E52" i="5"/>
  <c r="F51" i="5"/>
  <c r="E51" i="5"/>
  <c r="F50" i="5"/>
  <c r="E50" i="5"/>
  <c r="F49" i="5"/>
  <c r="E49" i="5"/>
  <c r="F48" i="5"/>
  <c r="E48" i="5"/>
  <c r="F47" i="5"/>
  <c r="E47" i="5"/>
  <c r="F46" i="5"/>
  <c r="E46" i="5"/>
  <c r="F45" i="5"/>
  <c r="E45" i="5"/>
  <c r="F44" i="5"/>
  <c r="E44" i="5"/>
  <c r="F43" i="5"/>
  <c r="E43" i="5"/>
  <c r="F42" i="5"/>
  <c r="E42" i="5"/>
  <c r="F41" i="5"/>
  <c r="E41" i="5"/>
  <c r="F40" i="5"/>
  <c r="E40" i="5"/>
  <c r="F39" i="5"/>
  <c r="E39" i="5"/>
  <c r="F38" i="5"/>
  <c r="E38" i="5"/>
  <c r="F37" i="5"/>
  <c r="E37" i="5"/>
  <c r="F36" i="5"/>
  <c r="E36" i="5"/>
  <c r="F35" i="5"/>
  <c r="E35" i="5"/>
  <c r="F34" i="5"/>
  <c r="E34" i="5"/>
  <c r="F33" i="5"/>
  <c r="E33" i="5"/>
  <c r="F32" i="5"/>
  <c r="E32" i="5"/>
  <c r="F31" i="5"/>
  <c r="E31" i="5"/>
  <c r="F30" i="5"/>
  <c r="E30" i="5"/>
  <c r="F29" i="5"/>
  <c r="E29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tc={1D01DAC3-8E71-4611-9523-BEBF131A7DE2}</author>
  </authors>
  <commentList>
    <comment ref="B9" authorId="0" shapeId="0" xr:uid="{1D01DAC3-8E71-4611-9523-BEBF131A7DE2}">
      <text>
        <t>[Threaded comment]
Your version of Excel allows you to read this threaded comment; however, any edits to it will get removed if the file is opened in a newer version of Excel. Learn more: https://go.microsoft.com/fwlink/?linkid=870924
Comment:
    2018 figures recovered from the Internet Archive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tc={0AE6DB4A-F763-4267-81D5-564AC3E1111A}</author>
  </authors>
  <commentList>
    <comment ref="G67" authorId="0" shapeId="0" xr:uid="{0AE6DB4A-F763-4267-81D5-564AC3E1111A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this be 2,034?
Reply:
    Corrected</t>
      </text>
    </comment>
  </commentList>
</comments>
</file>

<file path=xl/sharedStrings.xml><?xml version="1.0" encoding="utf-8"?>
<sst xmlns="http://schemas.openxmlformats.org/spreadsheetml/2006/main" count="1383" uniqueCount="571">
  <si>
    <t>Indicators</t>
  </si>
  <si>
    <t>Data</t>
  </si>
  <si>
    <t>Frequency</t>
  </si>
  <si>
    <t>Notes</t>
  </si>
  <si>
    <t>Done?</t>
  </si>
  <si>
    <t>Number of households in PRS</t>
  </si>
  <si>
    <t>EHS</t>
  </si>
  <si>
    <t>Annual</t>
  </si>
  <si>
    <t>Y</t>
  </si>
  <si>
    <t>LFS</t>
  </si>
  <si>
    <t>APS</t>
  </si>
  <si>
    <r>
      <t>Landlord type in the PRS  </t>
    </r>
    <r>
      <rPr>
        <b/>
        <sz val="8"/>
        <color theme="1"/>
        <rFont val="Foundry Form Sans"/>
      </rPr>
      <t> </t>
    </r>
  </si>
  <si>
    <t>Private Landlord Survey</t>
  </si>
  <si>
    <t>2018, 2021, 2024</t>
  </si>
  <si>
    <t>likely not accurate</t>
  </si>
  <si>
    <t>Y (3 year pooled data)</t>
  </si>
  <si>
    <t>PRS letting supply</t>
  </si>
  <si>
    <t>UK finance buy to let mortgage</t>
  </si>
  <si>
    <t>Quarterly</t>
  </si>
  <si>
    <t>To contact UK Finance</t>
  </si>
  <si>
    <t>RICS Residential market survey, landlord instruction to let, tenants demand</t>
  </si>
  <si>
    <t>Monthly</t>
  </si>
  <si>
    <t>Yes, to smooth trend on R</t>
  </si>
  <si>
    <t>Rightmove number of rental listings added of sales listings added</t>
  </si>
  <si>
    <t>Live</t>
  </si>
  <si>
    <t>PRS properties sales (exiting the market)</t>
  </si>
  <si>
    <t>Savills/Trust for London joined their own listing data with Land Registry data to track sales</t>
  </si>
  <si>
    <t xml:space="preserve">Rent levels (actual and asking) and rate of growth </t>
  </si>
  <si>
    <t>Asking rent: Rightmove and Homelet rental price tracker</t>
  </si>
  <si>
    <t>Existing and new lets: Price Index of Private Rent, Annual change</t>
  </si>
  <si>
    <t xml:space="preserve">Number of Rent Tribunal challenges made </t>
  </si>
  <si>
    <t>No data available</t>
  </si>
  <si>
    <t xml:space="preserve">Average length of time renters’ stay in a tenancy </t>
  </si>
  <si>
    <t>Deposit Protection Service (National)</t>
  </si>
  <si>
    <t xml:space="preserve">Renter satisfaction with their landlord and property condition </t>
  </si>
  <si>
    <t>National Tenant Survey (social housing only)</t>
  </si>
  <si>
    <t>Landlord court possession grounds and timescales</t>
  </si>
  <si>
    <t>MHCLG Mortgage and landlord possession statistic, high court data, regional breakdown by county court, describe court process too.</t>
  </si>
  <si>
    <t>I think timescales are published</t>
  </si>
  <si>
    <t xml:space="preserve">Homelessness statistics and reasons </t>
  </si>
  <si>
    <t>CHAIN, MHCLG Homelessness statistics</t>
  </si>
  <si>
    <t>Illegal evictions e.g. Met Police or LA data?</t>
  </si>
  <si>
    <t>Met police data</t>
  </si>
  <si>
    <t>One off FOI only</t>
  </si>
  <si>
    <t>Homelessness statistics</t>
  </si>
  <si>
    <t>Unlawful Eviction of Occupier</t>
  </si>
  <si>
    <t>Category 1 hazards</t>
  </si>
  <si>
    <t>Levels of overcrowding</t>
  </si>
  <si>
    <t>EHS/Citizen Advice</t>
  </si>
  <si>
    <t xml:space="preserve">Other enforcement stats – tbc (e.g. there are new LA reporting requirements) </t>
  </si>
  <si>
    <t>MHCLG data points</t>
  </si>
  <si>
    <r>
      <t xml:space="preserve">New requirement, details tbc </t>
    </r>
    <r>
      <rPr>
        <sz val="8"/>
        <color theme="1"/>
        <rFont val="Foundry Form Sans"/>
      </rPr>
      <t> </t>
    </r>
  </si>
  <si>
    <t>Number of Rent Repayment Orders made</t>
  </si>
  <si>
    <t>First Tier Tribunal</t>
  </si>
  <si>
    <t>Data not available to extract</t>
  </si>
  <si>
    <t>Use of guarantors</t>
  </si>
  <si>
    <t>EPLS</t>
  </si>
  <si>
    <t>One Off</t>
  </si>
  <si>
    <r>
      <t>Citizens Advice advice dashboard</t>
    </r>
    <r>
      <rPr>
        <sz val="8"/>
        <color theme="1"/>
        <rFont val="Foundry Form Sans"/>
      </rPr>
      <t> </t>
    </r>
    <r>
      <rPr>
        <sz val="12"/>
        <color theme="1"/>
        <rFont val="Foundry Form Sans"/>
      </rPr>
      <t>?</t>
    </r>
  </si>
  <si>
    <t>monthly</t>
  </si>
  <si>
    <t>PRS influencing homelessness</t>
  </si>
  <si>
    <t>MHCLG Homelessness statistics, Tenancy ended because landlord wanted to sell or move in or refurbish (no tenant fault grounds), etc.</t>
  </si>
  <si>
    <t>Quarterly.</t>
  </si>
  <si>
    <t>See MHCLG Homelessness statistics</t>
  </si>
  <si>
    <t>Other related data</t>
  </si>
  <si>
    <t>Built to Rent pipeline</t>
  </si>
  <si>
    <t>Molior BTR starts and completions, borough level</t>
  </si>
  <si>
    <t>quarterly</t>
  </si>
  <si>
    <t>Market monitoring data</t>
  </si>
  <si>
    <t>Rightmove number of listings uploaded</t>
  </si>
  <si>
    <t>Every two weeks</t>
  </si>
  <si>
    <t>Zoopla number of rentals below specific price</t>
  </si>
  <si>
    <t>Spareroom data</t>
  </si>
  <si>
    <t>LHA rates</t>
  </si>
  <si>
    <t>VOA Data</t>
  </si>
  <si>
    <t>Capital Gains Tax receipt</t>
  </si>
  <si>
    <t>To track the sales of buy to let homes or second homes, not the most accurate but could be useful.</t>
  </si>
  <si>
    <t xml:space="preserve">Homelet Rental Index Report </t>
  </si>
  <si>
    <t xml:space="preserve">Tracks affordability, average rent (of agreed rents for tenancies), monthly change, annual change (borough level) </t>
  </si>
  <si>
    <t>Rightmove Rental price tracker</t>
  </si>
  <si>
    <t>Tracks quarterly change (inner outer London), average rent (of advertised rent)</t>
  </si>
  <si>
    <t>CBRE Rental Forecast</t>
  </si>
  <si>
    <t xml:space="preserve">Rent forecast of new lets and tenancy renewals </t>
  </si>
  <si>
    <t>One off</t>
  </si>
  <si>
    <t>Whether landlord requested a guarantor or rent up front</t>
  </si>
  <si>
    <t>Next update</t>
  </si>
  <si>
    <t>one off</t>
  </si>
  <si>
    <t>Source</t>
  </si>
  <si>
    <t>English Private Landlord Survey 2024</t>
  </si>
  <si>
    <t>Note</t>
  </si>
  <si>
    <t>Filtered to London. The sample only covers landlords who have directly registered their tenancy with a deposit protection scheme themselves (not through an agent).</t>
  </si>
  <si>
    <t>ReqGuaRent</t>
  </si>
  <si>
    <t>weighted_n</t>
  </si>
  <si>
    <t>pct</t>
  </si>
  <si>
    <t>Don't know</t>
  </si>
  <si>
    <t>A guarantor</t>
  </si>
  <si>
    <t>Rent in advance, in addition to a deposit</t>
  </si>
  <si>
    <t>Both</t>
  </si>
  <si>
    <t>Neither</t>
  </si>
  <si>
    <t>NA</t>
  </si>
  <si>
    <t>Whether landlord requested a guarantor</t>
  </si>
  <si>
    <t>English Housing Survey</t>
  </si>
  <si>
    <t>Filtered to London, data from 2021 and 2023</t>
  </si>
  <si>
    <t>CDepAlt</t>
  </si>
  <si>
    <t>number</t>
  </si>
  <si>
    <t>unweighted</t>
  </si>
  <si>
    <t>rate</t>
  </si>
  <si>
    <t>Yes</t>
  </si>
  <si>
    <t>No</t>
  </si>
  <si>
    <t>Households by tenure</t>
  </si>
  <si>
    <t>Filtered to London</t>
  </si>
  <si>
    <t>ehsyear</t>
  </si>
  <si>
    <t>owners</t>
  </si>
  <si>
    <t>social sector</t>
  </si>
  <si>
    <t>private renters</t>
  </si>
  <si>
    <t>Household type by tenure</t>
  </si>
  <si>
    <t>hhchildren</t>
  </si>
  <si>
    <t>tenure3</t>
  </si>
  <si>
    <t>n</t>
  </si>
  <si>
    <t>with children</t>
  </si>
  <si>
    <t>Owner occupied</t>
  </si>
  <si>
    <t>Private rented</t>
  </si>
  <si>
    <t>Social housing</t>
  </si>
  <si>
    <t xml:space="preserve">Length of current stay of private renters </t>
  </si>
  <si>
    <t>Filtered to London, private renters. This is length of residency at time survey is conducted. A more accurate measure would be length of last PRS stay.</t>
  </si>
  <si>
    <t>3 year rolling</t>
  </si>
  <si>
    <t>0 - 1 year</t>
  </si>
  <si>
    <t>2 years</t>
  </si>
  <si>
    <t>3-4 years</t>
  </si>
  <si>
    <t>5-9 years</t>
  </si>
  <si>
    <t>10+ years</t>
  </si>
  <si>
    <t>10-19 years</t>
  </si>
  <si>
    <t>Grand Total</t>
  </si>
  <si>
    <t>Category 1 hazard homes</t>
  </si>
  <si>
    <t>bi-weekly</t>
  </si>
  <si>
    <t>Filtered to London, separate years by 2 given two-year dataset design, no data in 2021</t>
  </si>
  <si>
    <t>london</t>
  </si>
  <si>
    <t>not category 1 hazard</t>
  </si>
  <si>
    <t>category 1 hazard</t>
  </si>
  <si>
    <t>London</t>
  </si>
  <si>
    <t>Type of PRS lets, pooled data from 2017,2019, 2023</t>
  </si>
  <si>
    <t>TenTyp2</t>
  </si>
  <si>
    <t>Assured shorthold</t>
  </si>
  <si>
    <t>Assured (for tenancies starting between 1989-1997)</t>
  </si>
  <si>
    <t>Regulated (tenancy must have started in 1988 or earlier)</t>
  </si>
  <si>
    <t>Resident landlord</t>
  </si>
  <si>
    <t>Let by educational institution</t>
  </si>
  <si>
    <t>Other type of let</t>
  </si>
  <si>
    <t xml:space="preserve">* data likely not meaningful due to small sample size </t>
  </si>
  <si>
    <t>CRIS reports on unlawful eviction of occupier from 2019 to 2023</t>
  </si>
  <si>
    <t>One off FOI data</t>
  </si>
  <si>
    <t>Met police</t>
  </si>
  <si>
    <t>Borough </t>
  </si>
  <si>
    <t>2020 </t>
  </si>
  <si>
    <t>2022 </t>
  </si>
  <si>
    <t>Barking &amp; Dagenham</t>
  </si>
  <si>
    <t>Barnet</t>
  </si>
  <si>
    <t>Bexley</t>
  </si>
  <si>
    <t>Brent</t>
  </si>
  <si>
    <t>Bromley</t>
  </si>
  <si>
    <t>Camden </t>
  </si>
  <si>
    <t>Croydon</t>
  </si>
  <si>
    <t>Ealing</t>
  </si>
  <si>
    <t>Enfield</t>
  </si>
  <si>
    <t>Greenwich </t>
  </si>
  <si>
    <t>Hackney</t>
  </si>
  <si>
    <t>Hammersmith &amp; Fulham</t>
  </si>
  <si>
    <t>Haringey</t>
  </si>
  <si>
    <t>Harrow</t>
  </si>
  <si>
    <t>Havering</t>
  </si>
  <si>
    <t>Hillingdon</t>
  </si>
  <si>
    <t>Hounslow</t>
  </si>
  <si>
    <t>Islington</t>
  </si>
  <si>
    <t>Kensington &amp; Chelsea</t>
  </si>
  <si>
    <t>Kingston Upon Thames</t>
  </si>
  <si>
    <t>Lambeth</t>
  </si>
  <si>
    <t>Lewisham</t>
  </si>
  <si>
    <t>Merton</t>
  </si>
  <si>
    <t>Newham</t>
  </si>
  <si>
    <t>Redbridge</t>
  </si>
  <si>
    <t>Southwark</t>
  </si>
  <si>
    <t>Sutton</t>
  </si>
  <si>
    <t>Tower Hamlets</t>
  </si>
  <si>
    <t>Waltham Forest </t>
  </si>
  <si>
    <t>Wandsworth</t>
  </si>
  <si>
    <t>Westminster</t>
  </si>
  <si>
    <t>Type of landlord</t>
  </si>
  <si>
    <t>The sample only covers landlords who have directly registered their tenancy with a deposit protection scheme themselves (not through an agent).</t>
  </si>
  <si>
    <t>Landlord type</t>
  </si>
  <si>
    <t>As an individual or group of individuals</t>
  </si>
  <si>
    <t>As part of a company</t>
  </si>
  <si>
    <t>Both as an individual/group of individuals and as part of a company</t>
  </si>
  <si>
    <t>Size of landlord portfolio</t>
  </si>
  <si>
    <t>Port_size</t>
  </si>
  <si>
    <t>One property only</t>
  </si>
  <si>
    <t>two to four properties</t>
  </si>
  <si>
    <t>five or more properties</t>
  </si>
  <si>
    <t>Citizen Advice advice trends</t>
  </si>
  <si>
    <t>April (?)</t>
  </si>
  <si>
    <t>Citizen advice</t>
  </si>
  <si>
    <t>Subject</t>
  </si>
  <si>
    <t>Details</t>
  </si>
  <si>
    <t>1 Discrimination</t>
  </si>
  <si>
    <t>Race including nationality</t>
  </si>
  <si>
    <t>sex/gender</t>
  </si>
  <si>
    <t>sexual orientation</t>
  </si>
  <si>
    <t>mental health</t>
  </si>
  <si>
    <t>Disability excluding mental health</t>
  </si>
  <si>
    <t>Age</t>
  </si>
  <si>
    <t>Religion</t>
  </si>
  <si>
    <t>Being on benefit</t>
  </si>
  <si>
    <t>Not recorded/not applicable</t>
  </si>
  <si>
    <t>Pregnancy &amp; maternity</t>
  </si>
  <si>
    <t>Gender identity (Trans or non-binary)</t>
  </si>
  <si>
    <t>2 Actual Homelessness</t>
  </si>
  <si>
    <t>Relatives/friends unable/unwilling to host</t>
  </si>
  <si>
    <t>Relationship breakdown (excluding divorce)</t>
  </si>
  <si>
    <t>Domestic abuse</t>
  </si>
  <si>
    <t>Harassment/illegal eviction</t>
  </si>
  <si>
    <t>Mortgage/secured loan possession</t>
  </si>
  <si>
    <t>LA possession action</t>
  </si>
  <si>
    <t>Housing association possession action</t>
  </si>
  <si>
    <t>Private landlord poessession action</t>
  </si>
  <si>
    <t>Landlord's mortgage arrears</t>
  </si>
  <si>
    <t>Delays in HB/ UC claims</t>
  </si>
  <si>
    <t>Anti-social behaviour</t>
  </si>
  <si>
    <t>Rough sleeping</t>
  </si>
  <si>
    <t>Rough sleeping and threat to immigration</t>
  </si>
  <si>
    <t>Benefit cuts including cap</t>
  </si>
  <si>
    <t>In unsuitable accommodation</t>
  </si>
  <si>
    <t>In hostel/refuge/night shelter</t>
  </si>
  <si>
    <t>Section 21</t>
  </si>
  <si>
    <t>Section 8 notice</t>
  </si>
  <si>
    <t>Notice to Quit</t>
  </si>
  <si>
    <t>Temporary accomodation</t>
  </si>
  <si>
    <t>Affordability</t>
  </si>
  <si>
    <t>Sofa surfing</t>
  </si>
  <si>
    <t>Wales Serious Rent Arreas Notice</t>
  </si>
  <si>
    <t>Other</t>
  </si>
  <si>
    <t>3 Threatened Homelessness</t>
  </si>
  <si>
    <t>No recourse to public funds</t>
  </si>
  <si>
    <t>4 LA homelessness service</t>
  </si>
  <si>
    <t>Processes procedures and assessments</t>
  </si>
  <si>
    <t>Accommodation provided out of borough</t>
  </si>
  <si>
    <t>Court representation</t>
  </si>
  <si>
    <t>Duty to protect belongings</t>
  </si>
  <si>
    <t>Reviews appeals and complaints</t>
  </si>
  <si>
    <t>Housing options</t>
  </si>
  <si>
    <t>Complaints</t>
  </si>
  <si>
    <t>Homelessness Prevention Duty</t>
  </si>
  <si>
    <t>Homelessness Relief Duty</t>
  </si>
  <si>
    <t>Gatekeeping</t>
  </si>
  <si>
    <t>Eligibility (immigration status)</t>
  </si>
  <si>
    <t>Legal definition of homelessness/threat</t>
  </si>
  <si>
    <t>Priority need</t>
  </si>
  <si>
    <t>Intentionally homeless</t>
  </si>
  <si>
    <t>Local connection</t>
  </si>
  <si>
    <t>Interim Accommodation provision/suitability</t>
  </si>
  <si>
    <t>5 Access to &amp; provision of accomm.</t>
  </si>
  <si>
    <t>Emergency accommodation</t>
  </si>
  <si>
    <t>Council/HA allocations/transfers/exchanges</t>
  </si>
  <si>
    <t>Bidding and banding</t>
  </si>
  <si>
    <t>Finding and securing private rented sector</t>
  </si>
  <si>
    <t>Assistance with funding or guarantees</t>
  </si>
  <si>
    <t>Refusal due to housing benefit / UC</t>
  </si>
  <si>
    <t>Refusal due to immigration status</t>
  </si>
  <si>
    <t>House purchase</t>
  </si>
  <si>
    <t>Shared ownership</t>
  </si>
  <si>
    <t>Sheltered &amp; supported housing</t>
  </si>
  <si>
    <t>Help to Buy</t>
  </si>
  <si>
    <t>Lack of suitable or affordable alternatives</t>
  </si>
  <si>
    <t>No Recourse to Public Funds</t>
  </si>
  <si>
    <t>6 Local Authority housing</t>
  </si>
  <si>
    <t>Charges ineligible for housing related costs</t>
  </si>
  <si>
    <t>Fitness for Human Habitation</t>
  </si>
  <si>
    <t>Water charges</t>
  </si>
  <si>
    <t>Rent increases</t>
  </si>
  <si>
    <t>Other charges and rent issues</t>
  </si>
  <si>
    <t>Assignment/mutual exchange</t>
  </si>
  <si>
    <t>Disrepair/maintenance - damp/mould</t>
  </si>
  <si>
    <t>Disrepair/Maintenance - non damp/mould</t>
  </si>
  <si>
    <t>Court costs</t>
  </si>
  <si>
    <t>Clearance or redecoration after death</t>
  </si>
  <si>
    <t>Suitability of accommodation - excl overcrowding</t>
  </si>
  <si>
    <t>Suitability - Overcrowding</t>
  </si>
  <si>
    <t>Security of tenure</t>
  </si>
  <si>
    <t>Secure tenant</t>
  </si>
  <si>
    <t>Non Secure tenant</t>
  </si>
  <si>
    <t>Excluded occupier</t>
  </si>
  <si>
    <t>Succession rights</t>
  </si>
  <si>
    <t>EPC rating below E</t>
  </si>
  <si>
    <t>Housing stock transfer</t>
  </si>
  <si>
    <t>No EPC rating</t>
  </si>
  <si>
    <t>Invalid notice</t>
  </si>
  <si>
    <t>Valid notice</t>
  </si>
  <si>
    <t>Possession action (not for arrears)</t>
  </si>
  <si>
    <t>Adaptations for disabled people</t>
  </si>
  <si>
    <t>District and communal heating systems</t>
  </si>
  <si>
    <t>Relationship breakdown</t>
  </si>
  <si>
    <t>Right to buy</t>
  </si>
  <si>
    <t>Tenant notice requirements</t>
  </si>
  <si>
    <t>Charges eligible for housing related costs</t>
  </si>
  <si>
    <t>Wales Secure Occupation Contract</t>
  </si>
  <si>
    <t>Joint tenacy</t>
  </si>
  <si>
    <t>7 Housing association property</t>
  </si>
  <si>
    <t>Disrepair - damp/mould/condensation</t>
  </si>
  <si>
    <t>Assured tenant</t>
  </si>
  <si>
    <t>Assured shorthold tenant</t>
  </si>
  <si>
    <t>Wales Succession Rights, reserve successor</t>
  </si>
  <si>
    <t>8 Private sector rented property</t>
  </si>
  <si>
    <t>Letting agent charges</t>
  </si>
  <si>
    <t>Protected/regulated tenant</t>
  </si>
  <si>
    <t>Occupier with basic protection</t>
  </si>
  <si>
    <t>Trespasser</t>
  </si>
  <si>
    <t>Problems with letting agencies</t>
  </si>
  <si>
    <t>Guarantor</t>
  </si>
  <si>
    <t>Annual gas safety check</t>
  </si>
  <si>
    <t>Cost of deposits / rent in advance</t>
  </si>
  <si>
    <t>Tenancy deposit protection</t>
  </si>
  <si>
    <t>Tenancy deposit return</t>
  </si>
  <si>
    <t>Tenant Fees</t>
  </si>
  <si>
    <t>HMO (Houses in multiple occupation)</t>
  </si>
  <si>
    <t>Harassment by landlord</t>
  </si>
  <si>
    <t>Illegal eviction by landlord</t>
  </si>
  <si>
    <t>Improvement grants</t>
  </si>
  <si>
    <t>Deposit replacement schemes/No deposit schemes</t>
  </si>
  <si>
    <t>Possession action (not arrears)</t>
  </si>
  <si>
    <t>Possession/eviction - landlord mortgage</t>
  </si>
  <si>
    <t>Possession action with arrears</t>
  </si>
  <si>
    <t>Retaliatory evictions (disrepair)</t>
  </si>
  <si>
    <t>Retaliatory evictions (not disrepair)</t>
  </si>
  <si>
    <t>Immigration issues</t>
  </si>
  <si>
    <t>Tenancy agreements</t>
  </si>
  <si>
    <t>Rent Smart Wales (landlord/agent enquiry)</t>
  </si>
  <si>
    <t>Rent Smart Wales (tenant enquiring)</t>
  </si>
  <si>
    <t>Wales Standard Occupation Contract</t>
  </si>
  <si>
    <t>Wales Failure to provide landlord's address</t>
  </si>
  <si>
    <t>Joint tenancy</t>
  </si>
  <si>
    <t>9 Owner occupier property</t>
  </si>
  <si>
    <t>Service charges/ground rent (lease hold)</t>
  </si>
  <si>
    <t>Renting out room/property</t>
  </si>
  <si>
    <t>Licitation &amp; Partage - Guernsey</t>
  </si>
  <si>
    <t>Saisie Proceedings (Repossession)</t>
  </si>
  <si>
    <t>Leasehold/freehold/commonhold issues</t>
  </si>
  <si>
    <t>Sale &amp; rent back schemes</t>
  </si>
  <si>
    <t>Suitability of accommodation</t>
  </si>
  <si>
    <t>Cladding issues</t>
  </si>
  <si>
    <t>Equity release</t>
  </si>
  <si>
    <t>Mortgage payment increase</t>
  </si>
  <si>
    <t>10 Environmental &amp; neighbour issues</t>
  </si>
  <si>
    <t>Neighbour issues</t>
  </si>
  <si>
    <t>Planning issues</t>
  </si>
  <si>
    <t>Environmental issues</t>
  </si>
  <si>
    <t>Boundary disputes</t>
  </si>
  <si>
    <t>11 Other landlord</t>
  </si>
  <si>
    <t>Almshouse occupier</t>
  </si>
  <si>
    <t>Other charitable landlord</t>
  </si>
  <si>
    <t>Crown occupier</t>
  </si>
  <si>
    <t>99 Other housing issues</t>
  </si>
  <si>
    <t>Rights of non-tenant occupiers</t>
  </si>
  <si>
    <t>Enquiries from landlords</t>
  </si>
  <si>
    <t>Money owed to landlords after tenancy</t>
  </si>
  <si>
    <t>Disposal of tenant's possessions</t>
  </si>
  <si>
    <t>Other landlord issues</t>
  </si>
  <si>
    <t>Tied accommodation</t>
  </si>
  <si>
    <t>Form completion</t>
  </si>
  <si>
    <t>Travellers</t>
  </si>
  <si>
    <t>Human rights, Equalities Act &amp; Public Law</t>
  </si>
  <si>
    <t>Squatters</t>
  </si>
  <si>
    <t>Mobile homes - residential site license issues</t>
  </si>
  <si>
    <t>Prisoners/ex-prisoners housing issues</t>
  </si>
  <si>
    <t>Lack of furniture, white goods and appliances</t>
  </si>
  <si>
    <t>Lack of flooring</t>
  </si>
  <si>
    <t>Problems with supported accommodation</t>
  </si>
  <si>
    <t>Property Guardianship</t>
  </si>
  <si>
    <t>Impact of housing on health</t>
  </si>
  <si>
    <t>Annual change in average asking rent</t>
  </si>
  <si>
    <t>ONS Price Index of Private Rent</t>
  </si>
  <si>
    <t>Existing and new lets</t>
  </si>
  <si>
    <t>Date</t>
  </si>
  <si>
    <t>Barking and Dagenham</t>
  </si>
  <si>
    <t>Camden</t>
  </si>
  <si>
    <t>Greenwich</t>
  </si>
  <si>
    <t>Hammersmith and Fulham</t>
  </si>
  <si>
    <t>Kensington and Chelsea</t>
  </si>
  <si>
    <t>Kingston upon Thames</t>
  </si>
  <si>
    <t>Richmond upon Thames</t>
  </si>
  <si>
    <t>Waltham Forest</t>
  </si>
  <si>
    <t>Average asking rent</t>
  </si>
  <si>
    <t>Rightmove Rental Price Tracker</t>
  </si>
  <si>
    <t>Quarter</t>
  </si>
  <si>
    <t>Inner London</t>
  </si>
  <si>
    <t>Outer London</t>
  </si>
  <si>
    <t>Rest of Britain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</si>
  <si>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</si>
  <si>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</si>
  <si>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</si>
  <si>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</si>
  <si>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</si>
  <si>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</si>
  <si>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</si>
  <si>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</si>
  <si>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</si>
  <si>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</si>
  <si>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</si>
  <si>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</si>
  <si>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</si>
  <si>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</si>
  <si>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</si>
  <si>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</si>
  <si>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</si>
  <si>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</si>
  <si>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</si>
  <si>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</si>
  <si>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</si>
  <si>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</si>
  <si>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Rental index</t>
  </si>
  <si>
    <t>Homlet</t>
  </si>
  <si>
    <t>UK</t>
  </si>
  <si>
    <t>Greater London</t>
  </si>
  <si>
    <t>UK change</t>
  </si>
  <si>
    <t>London change</t>
  </si>
  <si>
    <t>RICS landlord instruction to let and tenant demand</t>
  </si>
  <si>
    <t>Seasonal adjusted</t>
  </si>
  <si>
    <t>Tenant demand</t>
  </si>
  <si>
    <t>Landlord instructions</t>
  </si>
  <si>
    <t>England and Wales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</si>
  <si>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</si>
  <si>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</si>
  <si>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</si>
  <si>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</si>
  <si>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</si>
  <si>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</si>
  <si>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</si>
  <si>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</si>
  <si>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</si>
  <si>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</si>
  <si>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</si>
  <si>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</si>
  <si>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</si>
  <si>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</si>
  <si>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</si>
  <si>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</si>
  <si>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</si>
  <si>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</si>
  <si>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</si>
  <si>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</si>
  <si>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</si>
  <si>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</si>
  <si>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</si>
  <si>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</si>
  <si>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</si>
  <si>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</si>
  <si>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</si>
  <si>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</si>
  <si>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</si>
  <si>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</si>
  <si>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</si>
  <si>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</si>
  <si>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</si>
  <si>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</si>
  <si>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</si>
  <si>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</si>
  <si>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</si>
  <si>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</si>
  <si>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</si>
  <si>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</si>
  <si>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</si>
  <si>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</si>
  <si>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</si>
  <si>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</si>
  <si>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</si>
  <si>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</si>
  <si>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</si>
  <si>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</si>
  <si>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</si>
  <si>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</si>
  <si>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</si>
  <si>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</si>
  <si>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</si>
  <si>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</si>
  <si>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</si>
  <si>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</si>
  <si>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</si>
  <si>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</si>
  <si>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</si>
  <si>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</si>
  <si>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</si>
  <si>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</si>
  <si>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</si>
  <si>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</si>
  <si>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</si>
  <si>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</si>
  <si>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</si>
  <si>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</si>
  <si>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</si>
  <si>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</si>
  <si>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</si>
  <si>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</si>
  <si>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</si>
  <si>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</si>
  <si>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</si>
  <si>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</si>
  <si>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</si>
  <si>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</si>
  <si>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</si>
  <si>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</si>
  <si>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</si>
  <si>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</si>
  <si>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</si>
  <si>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</si>
  <si>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</si>
  <si>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</si>
  <si>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</si>
  <si>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</si>
  <si>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 xml:space="preserve">2025 Q2 </t>
  </si>
  <si>
    <t>2026 Q1</t>
  </si>
  <si>
    <t>Buy to let mortgage lending</t>
  </si>
  <si>
    <t>UK Finance</t>
  </si>
  <si>
    <t>New loans</t>
  </si>
  <si>
    <t>annual change</t>
  </si>
  <si>
    <t>Loan size</t>
  </si>
  <si>
    <t>Average LTV</t>
  </si>
  <si>
    <t>Number of households owed a prevention duty by reason of loss or threat, of last settled home</t>
  </si>
  <si>
    <t xml:space="preserve">End of AST due to landlord wishing to </t>
  </si>
  <si>
    <t>End of AST due to</t>
  </si>
  <si>
    <t>Region</t>
  </si>
  <si>
    <t>sell property</t>
  </si>
  <si>
    <t>re-let property</t>
  </si>
  <si>
    <t>Tenant complained to the council / agent / landlord about disrepair</t>
  </si>
  <si>
    <t xml:space="preserve">Illegal eviction </t>
  </si>
  <si>
    <t>Tenant abandoned property</t>
  </si>
  <si>
    <t>Other reasons / not known</t>
  </si>
  <si>
    <t>Properties added to Rightmove in the last x days</t>
  </si>
  <si>
    <t>GLA collected rightmove data</t>
  </si>
  <si>
    <t>To rent</t>
  </si>
  <si>
    <t>Day of week</t>
  </si>
  <si>
    <t>24 hours</t>
  </si>
  <si>
    <t>7 days</t>
  </si>
  <si>
    <t>14 days</t>
  </si>
  <si>
    <t>Any time</t>
  </si>
  <si>
    <t>Number of advertised rentals below particular rent levels</t>
  </si>
  <si>
    <t>Bedrooms</t>
  </si>
  <si>
    <t>Max pcm</t>
  </si>
  <si>
    <t>£1,000</t>
  </si>
  <si>
    <t>£1,500</t>
  </si>
  <si>
    <t>£1,5002</t>
  </si>
  <si>
    <t>£1,750</t>
  </si>
  <si>
    <t>£1,7503</t>
  </si>
  <si>
    <t>£2,500</t>
  </si>
  <si>
    <t>Rent arrears (total)</t>
  </si>
  <si>
    <t>Rent arrears of which: due to rent increase</t>
  </si>
  <si>
    <t>MHCLG Homelessness Statistics A2P</t>
  </si>
  <si>
    <t>MHCLG Homelessness Statistics A1</t>
  </si>
  <si>
    <t>Number of households owed a prevention duty due to valid S21 notice served</t>
  </si>
  <si>
    <t>due to service of valid Section 21</t>
  </si>
  <si>
    <t>MHCLG Homelessness Statistics A2R</t>
  </si>
  <si>
    <t>retire</t>
  </si>
  <si>
    <t>England</t>
  </si>
  <si>
    <t>Rooms to rent</t>
  </si>
  <si>
    <t>People searching</t>
  </si>
  <si>
    <t>03/20/2026</t>
  </si>
  <si>
    <t>Number of rooms to rent and flatmates/roommates looking in London</t>
  </si>
  <si>
    <t>GLA collected Spareroom data</t>
  </si>
  <si>
    <t>Accelerated_Landlord</t>
  </si>
  <si>
    <t>Mortgage</t>
  </si>
  <si>
    <t>Private_Landlord</t>
  </si>
  <si>
    <t>Social_Landlord</t>
  </si>
  <si>
    <t>MOJ</t>
  </si>
  <si>
    <t>Number of repossession claims in London</t>
  </si>
  <si>
    <t>quarterly, Mortgage and landlord possession statistical tables for England and Wales data, zip file for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</si>
</sst>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* #,##0.00_-;\-* #,##0.00_-;_-* &quot;-&quot;??_-;_-@_-"/>
    <numFmt numFmtId="165" formatCode="0.0%"/>
    <numFmt numFmtId="166" formatCode="_-[$£-809]* #,##0_-;\-[$£-809]* #,##0_-;_-[$£-809]* &quot;-&quot;_-;_-@_-"/>
    <numFmt numFmtId="167" formatCode="&quot;£&quot;#,##0"/>
    <numFmt numFmtId="168" formatCode="&quot; &quot;General"/>
    <numFmt numFmtId="169" formatCode="&quot; &quot;#,##0.00&quot; &quot;;&quot; (&quot;#,##0.00&quot;)&quot;;&quot; -&quot;00&quot; &quot;;&quot; &quot;@&quot; &quot;"/>
    <numFmt numFmtId="170" formatCode="&quot; &quot;* #,##0.00&quot; &quot;;&quot;-&quot;* #,##0.00&quot; &quot;;&quot; &quot;* &quot;-&quot;#&quot; &quot;;&quot; &quot;@&quot; &quot;"/>
    <numFmt numFmtId="171" formatCode="&quot; &quot;#,##0.00&quot; &quot;;&quot;-&quot;#,##0.00&quot; &quot;;&quot; -&quot;#&quot; &quot;;&quot; &quot;@&quot; &quot;"/>
    <numFmt numFmtId="172" formatCode="&quot; &quot;#,##0.00&quot; &quot;;&quot;-&quot;#,##0.00&quot; &quot;;&quot; -&quot;00&quot; &quot;;&quot; &quot;@&quot; &quot;"/>
    <numFmt numFmtId="173" formatCode="mmm\-yyyy"/>
    <numFmt numFmtId="174" formatCode="_-* #,##0_-;\-* #,##0_-;_-* &quot;-&quot;??_-;_-@_-"/>
  </numFmts>
  <fonts count="3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Foundry Form Sans"/>
    </font>
    <font>
      <u/>
      <sz val="12"/>
      <color theme="10"/>
      <name val="Arial"/>
      <family val="2"/>
    </font>
    <font>
      <u/>
      <sz val="12"/>
      <color theme="10"/>
      <name val="Foundry Form Sans"/>
    </font>
    <font>
      <sz val="11"/>
      <color rgb="FF121212"/>
      <name val="Foundry Form Sans"/>
    </font>
    <font>
      <b/>
      <sz val="12"/>
      <color rgb="FF000000"/>
      <name val="Foundry Form Sans"/>
    </font>
    <font>
      <b/>
      <sz val="12"/>
      <color theme="1"/>
      <name val="Foundry Form Sans"/>
    </font>
    <font>
      <b/>
      <sz val="8"/>
      <color theme="1"/>
      <name val="Foundry Form Sans"/>
    </font>
    <font>
      <sz val="8"/>
      <color theme="1"/>
      <name val="Foundry Form Sans"/>
    </font>
    <font>
      <sz val="8"/>
      <color theme="1"/>
      <name val="Aptos"/>
      <family val="2"/>
    </font>
    <font>
      <sz val="12"/>
      <color rgb="FF9C0006"/>
      <name val="Arial"/>
      <family val="2"/>
    </font>
    <font>
      <sz val="11"/>
      <name val="Foundry Form Sans"/>
    </font>
    <font>
      <sz val="12"/>
      <name val="Foundry Form Sans"/>
    </font>
    <font>
      <b/>
      <sz val="11"/>
      <name val="Foundry Form Sans"/>
    </font>
    <font>
      <b/>
      <sz val="12"/>
      <name val="Foundry Form Sans"/>
    </font>
    <font>
      <sz val="10"/>
      <name val="Arial"/>
      <family val="2"/>
    </font>
    <font>
      <sz val="12"/>
      <color theme="1"/>
      <name val="Foundry Form Sans"/>
      <scheme val="major"/>
    </font>
    <font>
      <u/>
      <sz val="12"/>
      <color theme="10"/>
      <name val="Foundry Form Sans"/>
      <scheme val="major"/>
    </font>
    <font>
      <b/>
      <sz val="12"/>
      <name val="Foundry Form Sans"/>
      <scheme val="major"/>
    </font>
    <font>
      <sz val="12"/>
      <name val="Foundry Form Sans"/>
      <scheme val="major"/>
    </font>
    <font>
      <sz val="8"/>
      <name val="Arial"/>
      <family val="2"/>
    </font>
    <font>
      <sz val="12"/>
      <color rgb="FF000000"/>
      <name val="Arial"/>
      <family val="2"/>
    </font>
    <font>
      <sz val="11"/>
      <color theme="1"/>
      <name val="Foundry Form Sans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Courier"/>
      <family val="3"/>
    </font>
    <font>
      <u/>
      <sz val="10"/>
      <color rgb="FF0000FF"/>
      <name val="Arial"/>
      <family val="2"/>
    </font>
    <font>
      <sz val="10"/>
      <color rgb="FF000000"/>
      <name val="Foundry Form Sans"/>
      <scheme val="major"/>
    </font>
    <font>
      <sz val="11"/>
      <color rgb="FF000000"/>
      <name val="Foundry Form Sans"/>
      <scheme val="major"/>
    </font>
    <font>
      <sz val="12"/>
      <color theme="1"/>
      <name val="Foundry Form Sans"/>
      <scheme val="minor"/>
    </font>
    <font>
      <b/>
      <sz val="12"/>
      <color theme="1"/>
      <name val="Foundry Form Sans"/>
      <scheme val="minor"/>
    </font>
    <font>
      <b/>
      <sz val="12"/>
      <color theme="1"/>
      <name val="Foundry Form Sans"/>
      <scheme val="major"/>
    </font>
    <font>
      <sz val="11"/>
      <color rgb="FF000000"/>
      <name val="Arial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rgb="FF000000"/>
      <name val="Foundry Form Sans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auto="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/>
      <bottom style="thin">
        <color rgb="FF000000"/>
      </bottom>
      <diagonal/>
    </border>
  </borders>
  <cellStyleXfs count="49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6" fillId="0" borderId="0"/>
    <xf numFmtId="0" fontId="22" fillId="0" borderId="0"/>
    <xf numFmtId="9" fontId="22" fillId="0" borderId="0" applyFont="0" applyFill="0" applyBorder="0" applyAlignment="0" applyProtection="0"/>
    <xf numFmtId="0" fontId="22" fillId="4" borderId="0" applyNumberFormat="0" applyFont="0" applyBorder="0" applyAlignment="0" applyProtection="0"/>
    <xf numFmtId="0" fontId="11" fillId="5" borderId="0" applyNumberFormat="0" applyBorder="0" applyAlignment="0" applyProtection="0"/>
    <xf numFmtId="0" fontId="22" fillId="4" borderId="0" applyNumberFormat="0" applyBorder="0" applyAlignment="0" applyProtection="0"/>
    <xf numFmtId="0" fontId="11" fillId="5" borderId="0" applyNumberFormat="0" applyBorder="0" applyAlignment="0" applyProtection="0"/>
    <xf numFmtId="0" fontId="22" fillId="4" borderId="0" applyNumberFormat="0" applyFont="0" applyBorder="0" applyAlignment="0" applyProtection="0"/>
    <xf numFmtId="0" fontId="11" fillId="5" borderId="0" applyNumberFormat="0" applyBorder="0" applyAlignment="0" applyProtection="0"/>
    <xf numFmtId="0" fontId="22" fillId="4" borderId="0" applyNumberFormat="0" applyFont="0" applyBorder="0" applyAlignment="0" applyProtection="0"/>
    <xf numFmtId="0" fontId="11" fillId="5" borderId="0" applyNumberFormat="0" applyBorder="0" applyAlignment="0" applyProtection="0"/>
    <xf numFmtId="0" fontId="22" fillId="4" borderId="0" applyNumberFormat="0" applyFont="0" applyBorder="0" applyAlignment="0" applyProtection="0"/>
    <xf numFmtId="0" fontId="22" fillId="4" borderId="0" applyNumberFormat="0" applyFont="0" applyBorder="0" applyAlignment="0" applyProtection="0"/>
    <xf numFmtId="0" fontId="11" fillId="5" borderId="0" applyNumberFormat="0" applyBorder="0" applyAlignment="0" applyProtection="0"/>
    <xf numFmtId="0" fontId="22" fillId="4" borderId="0" applyNumberFormat="0" applyFont="0" applyBorder="0" applyAlignment="0" applyProtection="0"/>
    <xf numFmtId="0" fontId="24" fillId="0" borderId="0" applyNumberFormat="0" applyBorder="0" applyProtection="0"/>
    <xf numFmtId="0" fontId="25" fillId="0" borderId="0" applyNumberFormat="0" applyBorder="0" applyProtection="0"/>
    <xf numFmtId="0" fontId="25" fillId="0" borderId="0" applyNumberFormat="0" applyBorder="0" applyProtection="0"/>
    <xf numFmtId="164" fontId="22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2" fillId="4" borderId="0" applyNumberFormat="0" applyBorder="0" applyAlignment="0" applyProtection="0"/>
    <xf numFmtId="169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0" fontId="25" fillId="0" borderId="0" applyNumberFormat="0" applyBorder="0" applyProtection="0"/>
    <xf numFmtId="0" fontId="24" fillId="0" borderId="0" applyNumberFormat="0" applyBorder="0" applyProtection="0"/>
    <xf numFmtId="0" fontId="22" fillId="0" borderId="0" applyNumberFormat="0" applyFont="0" applyBorder="0" applyProtection="0"/>
    <xf numFmtId="168" fontId="26" fillId="0" borderId="0" applyBorder="0" applyProtection="0"/>
    <xf numFmtId="0" fontId="25" fillId="0" borderId="0" applyNumberFormat="0" applyBorder="0" applyProtection="0"/>
    <xf numFmtId="0" fontId="22" fillId="0" borderId="0" applyNumberFormat="0" applyFont="0" applyBorder="0" applyProtection="0"/>
    <xf numFmtId="9" fontId="22" fillId="0" borderId="0" applyFont="0" applyFill="0" applyBorder="0" applyAlignment="0" applyProtection="0"/>
    <xf numFmtId="0" fontId="22" fillId="0" borderId="0" applyNumberFormat="0" applyFont="0" applyBorder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4" borderId="0" applyNumberFormat="0" applyBorder="0" applyAlignment="0" applyProtection="0"/>
    <xf numFmtId="0" fontId="11" fillId="5" borderId="0" applyNumberFormat="0" applyBorder="0" applyAlignment="0" applyProtection="0"/>
    <xf numFmtId="0" fontId="25" fillId="0" borderId="0" applyNumberFormat="0" applyBorder="0" applyProtection="0"/>
    <xf numFmtId="0" fontId="25" fillId="0" borderId="0" applyNumberFormat="0" applyBorder="0" applyProtection="0"/>
    <xf numFmtId="0" fontId="23" fillId="0" borderId="0"/>
    <xf numFmtId="0" fontId="24" fillId="0" borderId="0" applyNumberFormat="0" applyBorder="0" applyProtection="0"/>
    <xf numFmtId="164" fontId="1" fillId="0" borderId="0" applyFont="0" applyFill="0" applyBorder="0" applyAlignment="0" applyProtection="0"/>
  </cellStyleXfs>
  <cellXfs count="208">
    <xf numFmtId="0" fontId="0" fillId="0" borderId="0" xfId="0"/>
    <xf numFmtId="0" fontId="2" fillId="0" borderId="0" xfId="0" applyFont="1"/>
    <xf numFmtId="0" fontId="4" fillId="0" borderId="0" xfId="2" applyFont="1"/>
    <xf numFmtId="14" fontId="2" fillId="0" borderId="0" xfId="0" applyNumberFormat="1" applyFont="1"/>
    <xf numFmtId="10" fontId="2" fillId="0" borderId="0" xfId="0" applyNumberFormat="1" applyFont="1"/>
    <xf numFmtId="3" fontId="2" fillId="0" borderId="0" xfId="0" applyNumberFormat="1" applyFont="1"/>
    <xf numFmtId="0" fontId="2" fillId="2" borderId="1" xfId="0" applyFont="1" applyFill="1" applyBorder="1"/>
    <xf numFmtId="1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10" fontId="2" fillId="0" borderId="1" xfId="0" applyNumberFormat="1" applyFont="1" applyBorder="1"/>
    <xf numFmtId="17" fontId="2" fillId="2" borderId="1" xfId="0" applyNumberFormat="1" applyFont="1" applyFill="1" applyBorder="1"/>
    <xf numFmtId="165" fontId="2" fillId="2" borderId="1" xfId="0" applyNumberFormat="1" applyFont="1" applyFill="1" applyBorder="1"/>
    <xf numFmtId="17" fontId="2" fillId="0" borderId="1" xfId="0" applyNumberFormat="1" applyFont="1" applyBorder="1"/>
    <xf numFmtId="166" fontId="5" fillId="0" borderId="1" xfId="0" applyNumberFormat="1" applyFont="1" applyBorder="1"/>
    <xf numFmtId="165" fontId="2" fillId="0" borderId="1" xfId="1" applyNumberFormat="1" applyFont="1" applyBorder="1"/>
    <xf numFmtId="167" fontId="2" fillId="0" borderId="1" xfId="0" applyNumberFormat="1" applyFont="1" applyBorder="1" applyAlignment="1">
      <alignment horizontal="center"/>
    </xf>
    <xf numFmtId="167" fontId="5" fillId="0" borderId="1" xfId="0" applyNumberFormat="1" applyFont="1" applyBorder="1" applyAlignment="1">
      <alignment horizontal="center"/>
    </xf>
    <xf numFmtId="0" fontId="6" fillId="3" borderId="5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3" fillId="0" borderId="9" xfId="2" applyBorder="1" applyAlignment="1">
      <alignment vertical="center" wrapText="1"/>
    </xf>
    <xf numFmtId="0" fontId="10" fillId="0" borderId="0" xfId="0" applyFont="1" applyAlignment="1">
      <alignment vertical="center"/>
    </xf>
    <xf numFmtId="0" fontId="3" fillId="0" borderId="0" xfId="2" applyAlignment="1">
      <alignment vertical="center"/>
    </xf>
    <xf numFmtId="0" fontId="2" fillId="0" borderId="13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14" fontId="2" fillId="0" borderId="22" xfId="0" applyNumberFormat="1" applyFont="1" applyBorder="1"/>
    <xf numFmtId="0" fontId="2" fillId="0" borderId="23" xfId="0" applyFont="1" applyBorder="1"/>
    <xf numFmtId="0" fontId="2" fillId="0" borderId="22" xfId="0" applyFont="1" applyBorder="1"/>
    <xf numFmtId="14" fontId="12" fillId="0" borderId="0" xfId="0" applyNumberFormat="1" applyFont="1"/>
    <xf numFmtId="14" fontId="2" fillId="0" borderId="24" xfId="0" applyNumberFormat="1" applyFont="1" applyBorder="1"/>
    <xf numFmtId="0" fontId="2" fillId="0" borderId="25" xfId="0" applyFont="1" applyBorder="1"/>
    <xf numFmtId="0" fontId="2" fillId="0" borderId="26" xfId="0" applyFont="1" applyBorder="1"/>
    <xf numFmtId="0" fontId="13" fillId="2" borderId="16" xfId="0" applyFont="1" applyFill="1" applyBorder="1"/>
    <xf numFmtId="0" fontId="13" fillId="2" borderId="17" xfId="0" applyFont="1" applyFill="1" applyBorder="1"/>
    <xf numFmtId="0" fontId="13" fillId="2" borderId="19" xfId="0" applyFont="1" applyFill="1" applyBorder="1"/>
    <xf numFmtId="0" fontId="13" fillId="2" borderId="20" xfId="0" applyFont="1" applyFill="1" applyBorder="1"/>
    <xf numFmtId="0" fontId="13" fillId="2" borderId="21" xfId="0" applyFont="1" applyFill="1" applyBorder="1"/>
    <xf numFmtId="0" fontId="2" fillId="2" borderId="3" xfId="0" applyFont="1" applyFill="1" applyBorder="1"/>
    <xf numFmtId="0" fontId="15" fillId="2" borderId="21" xfId="0" applyFont="1" applyFill="1" applyBorder="1"/>
    <xf numFmtId="167" fontId="15" fillId="2" borderId="19" xfId="0" applyNumberFormat="1" applyFont="1" applyFill="1" applyBorder="1"/>
    <xf numFmtId="167" fontId="15" fillId="2" borderId="20" xfId="0" applyNumberFormat="1" applyFont="1" applyFill="1" applyBorder="1"/>
    <xf numFmtId="3" fontId="2" fillId="0" borderId="22" xfId="0" applyNumberFormat="1" applyFont="1" applyBorder="1"/>
    <xf numFmtId="3" fontId="2" fillId="0" borderId="23" xfId="0" applyNumberFormat="1" applyFont="1" applyBorder="1"/>
    <xf numFmtId="0" fontId="6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17" fillId="0" borderId="0" xfId="0" applyFont="1"/>
    <xf numFmtId="17" fontId="17" fillId="0" borderId="0" xfId="0" applyNumberFormat="1" applyFont="1"/>
    <xf numFmtId="0" fontId="18" fillId="0" borderId="0" xfId="2" applyFont="1"/>
    <xf numFmtId="1" fontId="17" fillId="0" borderId="0" xfId="0" applyNumberFormat="1" applyFont="1"/>
    <xf numFmtId="0" fontId="19" fillId="0" borderId="0" xfId="0" applyFont="1"/>
    <xf numFmtId="0" fontId="19" fillId="0" borderId="0" xfId="3" applyFont="1" applyAlignment="1">
      <alignment horizontal="center"/>
    </xf>
    <xf numFmtId="0" fontId="20" fillId="0" borderId="0" xfId="3" applyFont="1" applyAlignment="1">
      <alignment horizontal="center"/>
    </xf>
    <xf numFmtId="0" fontId="20" fillId="0" borderId="0" xfId="3" applyFont="1"/>
    <xf numFmtId="0" fontId="19" fillId="0" borderId="0" xfId="0" applyFont="1" applyAlignment="1">
      <alignment horizontal="center"/>
    </xf>
    <xf numFmtId="0" fontId="20" fillId="0" borderId="0" xfId="0" applyFont="1"/>
    <xf numFmtId="17" fontId="20" fillId="0" borderId="0" xfId="0" applyNumberFormat="1" applyFont="1"/>
    <xf numFmtId="1" fontId="17" fillId="0" borderId="1" xfId="0" applyNumberFormat="1" applyFont="1" applyBorder="1"/>
    <xf numFmtId="0" fontId="19" fillId="2" borderId="2" xfId="0" applyFont="1" applyFill="1" applyBorder="1"/>
    <xf numFmtId="0" fontId="19" fillId="2" borderId="4" xfId="0" applyFont="1" applyFill="1" applyBorder="1"/>
    <xf numFmtId="0" fontId="17" fillId="2" borderId="1" xfId="0" applyFont="1" applyFill="1" applyBorder="1" applyAlignment="1">
      <alignment horizontal="left"/>
    </xf>
    <xf numFmtId="0" fontId="20" fillId="0" borderId="1" xfId="3" applyFont="1" applyBorder="1" applyAlignment="1">
      <alignment horizontal="left"/>
    </xf>
    <xf numFmtId="1" fontId="20" fillId="2" borderId="1" xfId="0" applyNumberFormat="1" applyFont="1" applyFill="1" applyBorder="1" applyAlignment="1">
      <alignment horizontal="right"/>
    </xf>
    <xf numFmtId="1" fontId="17" fillId="2" borderId="1" xfId="0" applyNumberFormat="1" applyFont="1" applyFill="1" applyBorder="1" applyAlignment="1">
      <alignment horizontal="right"/>
    </xf>
    <xf numFmtId="3" fontId="17" fillId="0" borderId="0" xfId="0" applyNumberFormat="1" applyFont="1"/>
    <xf numFmtId="10" fontId="17" fillId="0" borderId="0" xfId="0" applyNumberFormat="1" applyFont="1"/>
    <xf numFmtId="3" fontId="29" fillId="0" borderId="0" xfId="4" applyNumberFormat="1" applyFont="1" applyAlignment="1" applyProtection="1">
      <alignment horizontal="right" vertical="center" wrapText="1"/>
      <protection locked="0"/>
    </xf>
    <xf numFmtId="3" fontId="29" fillId="0" borderId="0" xfId="0" applyNumberFormat="1" applyFont="1" applyAlignment="1" applyProtection="1">
      <alignment horizontal="right" vertical="center" wrapText="1"/>
      <protection locked="0"/>
    </xf>
    <xf numFmtId="3" fontId="28" fillId="0" borderId="0" xfId="4" applyNumberFormat="1" applyFont="1" applyAlignment="1" applyProtection="1">
      <alignment horizontal="right" vertical="center" wrapText="1"/>
      <protection locked="0"/>
    </xf>
    <xf numFmtId="14" fontId="17" fillId="0" borderId="0" xfId="0" applyNumberFormat="1" applyFont="1" applyAlignment="1">
      <alignment horizontal="left"/>
    </xf>
    <xf numFmtId="0" fontId="17" fillId="2" borderId="1" xfId="0" applyFont="1" applyFill="1" applyBorder="1" applyAlignment="1">
      <alignment horizontal="right"/>
    </xf>
    <xf numFmtId="0" fontId="17" fillId="2" borderId="1" xfId="0" applyFont="1" applyFill="1" applyBorder="1" applyAlignment="1">
      <alignment horizontal="right" vertical="center" wrapText="1"/>
    </xf>
    <xf numFmtId="0" fontId="17" fillId="0" borderId="0" xfId="0" applyFont="1" applyAlignment="1">
      <alignment horizontal="right"/>
    </xf>
    <xf numFmtId="173" fontId="17" fillId="0" borderId="0" xfId="0" applyNumberFormat="1" applyFont="1" applyAlignment="1">
      <alignment horizontal="left"/>
    </xf>
    <xf numFmtId="0" fontId="2" fillId="2" borderId="9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vertical="center" wrapText="1"/>
    </xf>
    <xf numFmtId="0" fontId="3" fillId="0" borderId="0" xfId="2"/>
    <xf numFmtId="0" fontId="30" fillId="0" borderId="0" xfId="0" applyFont="1"/>
    <xf numFmtId="0" fontId="30" fillId="0" borderId="1" xfId="0" applyFont="1" applyBorder="1"/>
    <xf numFmtId="0" fontId="31" fillId="2" borderId="1" xfId="0" applyFont="1" applyFill="1" applyBorder="1"/>
    <xf numFmtId="17" fontId="30" fillId="0" borderId="0" xfId="0" applyNumberFormat="1" applyFont="1"/>
    <xf numFmtId="9" fontId="30" fillId="0" borderId="1" xfId="1" applyFont="1" applyBorder="1"/>
    <xf numFmtId="9" fontId="17" fillId="0" borderId="0" xfId="1" applyFont="1"/>
    <xf numFmtId="0" fontId="17" fillId="0" borderId="0" xfId="0" applyFont="1" applyAlignment="1">
      <alignment horizontal="left"/>
    </xf>
    <xf numFmtId="174" fontId="17" fillId="0" borderId="0" xfId="48" applyNumberFormat="1" applyFont="1" applyAlignment="1">
      <alignment horizontal="right"/>
    </xf>
    <xf numFmtId="0" fontId="17" fillId="0" borderId="1" xfId="0" applyFont="1" applyBorder="1" applyAlignment="1">
      <alignment horizontal="left"/>
    </xf>
    <xf numFmtId="9" fontId="17" fillId="0" borderId="1" xfId="1" applyFont="1" applyBorder="1" applyAlignment="1">
      <alignment horizontal="right"/>
    </xf>
    <xf numFmtId="0" fontId="32" fillId="2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right"/>
    </xf>
    <xf numFmtId="0" fontId="32" fillId="2" borderId="1" xfId="0" applyFont="1" applyFill="1" applyBorder="1"/>
    <xf numFmtId="0" fontId="17" fillId="0" borderId="1" xfId="0" applyFont="1" applyBorder="1"/>
    <xf numFmtId="174" fontId="17" fillId="0" borderId="1" xfId="48" applyNumberFormat="1" applyFont="1" applyBorder="1"/>
    <xf numFmtId="9" fontId="17" fillId="0" borderId="1" xfId="1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9" fontId="0" fillId="0" borderId="1" xfId="1" applyFont="1" applyBorder="1" applyAlignment="1">
      <alignment horizontal="right"/>
    </xf>
    <xf numFmtId="174" fontId="32" fillId="2" borderId="1" xfId="48" applyNumberFormat="1" applyFont="1" applyFill="1" applyBorder="1" applyAlignment="1">
      <alignment horizontal="right"/>
    </xf>
    <xf numFmtId="9" fontId="17" fillId="0" borderId="1" xfId="1" applyFont="1" applyBorder="1"/>
    <xf numFmtId="0" fontId="2" fillId="0" borderId="1" xfId="0" applyFont="1" applyBorder="1" applyAlignment="1">
      <alignment vertical="center" wrapText="1"/>
    </xf>
    <xf numFmtId="0" fontId="17" fillId="2" borderId="1" xfId="0" applyFont="1" applyFill="1" applyBorder="1" applyAlignment="1">
      <alignment vertical="center"/>
    </xf>
    <xf numFmtId="0" fontId="17" fillId="2" borderId="1" xfId="0" applyFont="1" applyFill="1" applyBorder="1" applyAlignment="1">
      <alignment vertical="center" wrapText="1"/>
    </xf>
    <xf numFmtId="0" fontId="17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174" fontId="0" fillId="0" borderId="1" xfId="48" applyNumberFormat="1" applyFont="1" applyBorder="1" applyAlignment="1">
      <alignment horizontal="right"/>
    </xf>
    <xf numFmtId="0" fontId="20" fillId="0" borderId="1" xfId="0" applyFont="1" applyBorder="1" applyAlignment="1">
      <alignment horizontal="left" vertical="center" wrapText="1" indent="1"/>
    </xf>
    <xf numFmtId="0" fontId="20" fillId="0" borderId="1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wrapText="1"/>
    </xf>
    <xf numFmtId="0" fontId="6" fillId="3" borderId="4" xfId="0" applyFont="1" applyFill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0" fillId="0" borderId="4" xfId="0" applyBorder="1"/>
    <xf numFmtId="0" fontId="7" fillId="0" borderId="32" xfId="0" applyFont="1" applyBorder="1" applyAlignment="1">
      <alignment vertical="center" wrapText="1"/>
    </xf>
    <xf numFmtId="0" fontId="6" fillId="3" borderId="30" xfId="0" applyFont="1" applyFill="1" applyBorder="1" applyAlignment="1">
      <alignment vertical="center" wrapText="1"/>
    </xf>
    <xf numFmtId="0" fontId="30" fillId="0" borderId="1" xfId="0" applyFont="1" applyBorder="1" applyAlignment="1">
      <alignment horizontal="left"/>
    </xf>
    <xf numFmtId="0" fontId="30" fillId="0" borderId="1" xfId="0" applyFont="1" applyBorder="1" applyAlignment="1">
      <alignment horizontal="right"/>
    </xf>
    <xf numFmtId="174" fontId="30" fillId="0" borderId="1" xfId="48" applyNumberFormat="1" applyFont="1" applyBorder="1" applyAlignment="1">
      <alignment horizontal="right"/>
    </xf>
    <xf numFmtId="9" fontId="30" fillId="0" borderId="1" xfId="1" applyFont="1" applyBorder="1" applyAlignment="1">
      <alignment horizontal="right"/>
    </xf>
    <xf numFmtId="0" fontId="31" fillId="2" borderId="1" xfId="0" applyFont="1" applyFill="1" applyBorder="1" applyAlignment="1">
      <alignment horizontal="left"/>
    </xf>
    <xf numFmtId="0" fontId="31" fillId="2" borderId="1" xfId="0" applyFont="1" applyFill="1" applyBorder="1" applyAlignment="1">
      <alignment horizontal="right"/>
    </xf>
    <xf numFmtId="0" fontId="2" fillId="0" borderId="30" xfId="0" applyFont="1" applyBorder="1" applyAlignment="1">
      <alignment vertical="center" wrapText="1"/>
    </xf>
    <xf numFmtId="0" fontId="0" fillId="0" borderId="23" xfId="0" applyBorder="1"/>
    <xf numFmtId="0" fontId="2" fillId="0" borderId="17" xfId="0" applyFont="1" applyBorder="1" applyAlignment="1">
      <alignment vertical="center" wrapText="1"/>
    </xf>
    <xf numFmtId="0" fontId="7" fillId="2" borderId="32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2" fillId="2" borderId="32" xfId="0" applyFont="1" applyFill="1" applyBorder="1" applyAlignment="1">
      <alignment vertical="center" wrapText="1"/>
    </xf>
    <xf numFmtId="0" fontId="2" fillId="2" borderId="23" xfId="0" applyFont="1" applyFill="1" applyBorder="1" applyAlignment="1">
      <alignment vertical="center" wrapText="1"/>
    </xf>
    <xf numFmtId="0" fontId="17" fillId="0" borderId="34" xfId="0" applyFont="1" applyBorder="1"/>
    <xf numFmtId="0" fontId="32" fillId="2" borderId="34" xfId="0" applyFont="1" applyFill="1" applyBorder="1"/>
    <xf numFmtId="9" fontId="17" fillId="0" borderId="34" xfId="1" applyFont="1" applyBorder="1"/>
    <xf numFmtId="0" fontId="2" fillId="2" borderId="7" xfId="0" applyFont="1" applyFill="1" applyBorder="1" applyAlignment="1">
      <alignment vertical="center" wrapText="1"/>
    </xf>
    <xf numFmtId="0" fontId="2" fillId="2" borderId="29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17" fillId="2" borderId="34" xfId="0" applyFont="1" applyFill="1" applyBorder="1"/>
    <xf numFmtId="0" fontId="17" fillId="2" borderId="34" xfId="0" applyFont="1" applyFill="1" applyBorder="1" applyAlignment="1">
      <alignment horizontal="right"/>
    </xf>
    <xf numFmtId="174" fontId="17" fillId="0" borderId="34" xfId="48" applyNumberFormat="1" applyFont="1" applyBorder="1" applyAlignment="1">
      <alignment horizontal="right"/>
    </xf>
    <xf numFmtId="9" fontId="17" fillId="0" borderId="34" xfId="1" applyFont="1" applyBorder="1" applyAlignment="1">
      <alignment horizontal="right"/>
    </xf>
    <xf numFmtId="9" fontId="17" fillId="0" borderId="0" xfId="0" applyNumberFormat="1" applyFont="1"/>
    <xf numFmtId="0" fontId="30" fillId="6" borderId="1" xfId="0" applyFont="1" applyFill="1" applyBorder="1"/>
    <xf numFmtId="0" fontId="17" fillId="2" borderId="0" xfId="0" applyFont="1" applyFill="1"/>
    <xf numFmtId="9" fontId="17" fillId="0" borderId="0" xfId="1" applyFont="1" applyAlignment="1">
      <alignment horizontal="right"/>
    </xf>
    <xf numFmtId="9" fontId="17" fillId="0" borderId="1" xfId="0" applyNumberFormat="1" applyFont="1" applyBorder="1"/>
    <xf numFmtId="9" fontId="32" fillId="2" borderId="1" xfId="1" applyFont="1" applyFill="1" applyBorder="1" applyAlignment="1">
      <alignment horizontal="right"/>
    </xf>
    <xf numFmtId="9" fontId="17" fillId="0" borderId="1" xfId="0" applyNumberFormat="1" applyFont="1" applyBorder="1" applyAlignment="1">
      <alignment horizontal="right"/>
    </xf>
    <xf numFmtId="0" fontId="17" fillId="0" borderId="1" xfId="0" applyFont="1" applyBorder="1" applyAlignment="1">
      <alignment horizontal="right"/>
    </xf>
    <xf numFmtId="174" fontId="17" fillId="0" borderId="0" xfId="48" applyNumberFormat="1" applyFont="1"/>
    <xf numFmtId="0" fontId="32" fillId="2" borderId="35" xfId="0" applyFont="1" applyFill="1" applyBorder="1"/>
    <xf numFmtId="0" fontId="17" fillId="0" borderId="1" xfId="0" applyFont="1" applyBorder="1" applyAlignment="1">
      <alignment wrapText="1"/>
    </xf>
    <xf numFmtId="9" fontId="0" fillId="0" borderId="1" xfId="1" applyFont="1" applyBorder="1"/>
    <xf numFmtId="174" fontId="0" fillId="0" borderId="1" xfId="48" applyNumberFormat="1" applyFont="1" applyBorder="1"/>
    <xf numFmtId="0" fontId="17" fillId="2" borderId="1" xfId="0" applyFont="1" applyFill="1" applyBorder="1"/>
    <xf numFmtId="14" fontId="17" fillId="0" borderId="1" xfId="0" applyNumberFormat="1" applyFont="1" applyBorder="1" applyAlignment="1">
      <alignment horizontal="left"/>
    </xf>
    <xf numFmtId="168" fontId="33" fillId="0" borderId="0" xfId="0" applyNumberFormat="1" applyFont="1" applyAlignment="1">
      <alignment horizontal="right" vertical="center" wrapText="1"/>
    </xf>
    <xf numFmtId="0" fontId="34" fillId="7" borderId="0" xfId="0" applyFont="1" applyFill="1"/>
    <xf numFmtId="0" fontId="35" fillId="7" borderId="0" xfId="0" applyFont="1" applyFill="1"/>
    <xf numFmtId="3" fontId="24" fillId="8" borderId="0" xfId="0" applyNumberFormat="1" applyFont="1" applyFill="1"/>
    <xf numFmtId="0" fontId="24" fillId="8" borderId="0" xfId="0" applyFont="1" applyFill="1"/>
    <xf numFmtId="3" fontId="24" fillId="0" borderId="0" xfId="0" applyNumberFormat="1" applyFont="1"/>
    <xf numFmtId="0" fontId="0" fillId="0" borderId="0" xfId="0" applyAlignment="1">
      <alignment horizontal="left" vertical="center"/>
    </xf>
    <xf numFmtId="3" fontId="0" fillId="9" borderId="0" xfId="0" applyNumberFormat="1" applyFill="1"/>
    <xf numFmtId="3" fontId="0" fillId="9" borderId="36" xfId="0" applyNumberFormat="1" applyFill="1" applyBorder="1"/>
    <xf numFmtId="14" fontId="31" fillId="2" borderId="1" xfId="0" applyNumberFormat="1" applyFont="1" applyFill="1" applyBorder="1"/>
    <xf numFmtId="14" fontId="30" fillId="0" borderId="0" xfId="0" applyNumberFormat="1" applyFont="1"/>
    <xf numFmtId="0" fontId="37" fillId="0" borderId="23" xfId="0" applyFont="1" applyBorder="1"/>
    <xf numFmtId="0" fontId="37" fillId="0" borderId="0" xfId="0" applyFont="1"/>
    <xf numFmtId="14" fontId="24" fillId="0" borderId="0" xfId="0" applyNumberFormat="1" applyFont="1"/>
    <xf numFmtId="14" fontId="24" fillId="8" borderId="0" xfId="0" applyNumberFormat="1" applyFont="1" applyFill="1"/>
    <xf numFmtId="0" fontId="24" fillId="0" borderId="0" xfId="0" applyFont="1" applyAlignment="1">
      <alignment horizontal="right"/>
    </xf>
    <xf numFmtId="14" fontId="24" fillId="0" borderId="0" xfId="0" applyNumberFormat="1" applyFont="1" applyAlignment="1">
      <alignment horizontal="right"/>
    </xf>
    <xf numFmtId="14" fontId="36" fillId="8" borderId="0" xfId="0" applyNumberFormat="1" applyFont="1" applyFill="1"/>
    <xf numFmtId="0" fontId="2" fillId="0" borderId="13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6" fillId="3" borderId="14" xfId="0" applyFont="1" applyFill="1" applyBorder="1" applyAlignment="1">
      <alignment vertical="center" wrapText="1"/>
    </xf>
    <xf numFmtId="0" fontId="6" fillId="3" borderId="15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7" fillId="2" borderId="3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/>
    </xf>
    <xf numFmtId="0" fontId="14" fillId="2" borderId="18" xfId="0" applyFont="1" applyFill="1" applyBorder="1" applyAlignment="1">
      <alignment horizontal="center"/>
    </xf>
    <xf numFmtId="0" fontId="14" fillId="2" borderId="1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49">
    <cellStyle name="%" xfId="3" xr:uid="{563948F1-C004-41C4-89D5-DA222C489E0B}"/>
    <cellStyle name="cf1" xfId="6" xr:uid="{5FE56BCC-5461-4119-9383-F38E50677D97}"/>
    <cellStyle name="cf10" xfId="7" xr:uid="{5CC872C6-DF1E-42DE-AC42-0B56C856974B}"/>
    <cellStyle name="cf11" xfId="8" xr:uid="{52FE2EBA-4D8D-477F-81BE-D8C2A704738E}"/>
    <cellStyle name="cf12" xfId="9" xr:uid="{3A348073-F3EF-4220-8EEA-F8C76B064E76}"/>
    <cellStyle name="cf2" xfId="10" xr:uid="{2C60BA32-F8E5-4C8D-B114-AF9416D9F395}"/>
    <cellStyle name="cf2 2" xfId="23" xr:uid="{E3F0FC7E-CEC3-4666-B00F-23E4649EBB55}"/>
    <cellStyle name="cf3" xfId="11" xr:uid="{89D0A9F8-2859-46CE-82A0-9231B1944176}"/>
    <cellStyle name="cf4" xfId="12" xr:uid="{BB088C00-2494-4969-A134-D7691BF1FF45}"/>
    <cellStyle name="cf5" xfId="13" xr:uid="{7140F54F-87D8-4D37-A21E-94D1ACB6A3E5}"/>
    <cellStyle name="cf6" xfId="14" xr:uid="{B05DF831-77BC-4720-B4BB-D82DABB471A4}"/>
    <cellStyle name="cf6 2" xfId="42" xr:uid="{2DEEAF32-9C06-40A9-92D5-65AEEC96309B}"/>
    <cellStyle name="cf7" xfId="15" xr:uid="{2A5DA8A8-1853-4EDB-8779-C38DA0C41290}"/>
    <cellStyle name="cf7 2" xfId="43" xr:uid="{C28FA6CA-F283-4942-A781-B388B09087D8}"/>
    <cellStyle name="cf8" xfId="16" xr:uid="{7E5535B8-DAC3-43FB-A342-FA4AA113F7F9}"/>
    <cellStyle name="cf9" xfId="17" xr:uid="{F1C91082-50C3-4C92-89FF-72F9C65479B4}"/>
    <cellStyle name="Comma" xfId="48" builtinId="3"/>
    <cellStyle name="Comma 2" xfId="25" xr:uid="{AFE19DEB-A8FB-4C18-BCBE-CE64339EF625}"/>
    <cellStyle name="Comma 2 2 3" xfId="26" xr:uid="{1C7B8F76-7DBF-45FE-AFA3-6A492282A5F3}"/>
    <cellStyle name="Comma 2 2 3 3" xfId="27" xr:uid="{A8C0F8A7-9A1B-459B-88AF-C6955BAC91AC}"/>
    <cellStyle name="Comma 2 2 3 4" xfId="28" xr:uid="{E1DF6B93-1AF6-41BA-AA5B-21235E79CD73}"/>
    <cellStyle name="Comma 2 3" xfId="29" xr:uid="{27C133B7-8901-46BE-B398-48D01F3037C1}"/>
    <cellStyle name="Comma 3" xfId="30" xr:uid="{0302CBB3-0CA7-4F0F-9BC6-E56875987E13}"/>
    <cellStyle name="Comma 4" xfId="21" xr:uid="{16355234-FD86-4A7E-A687-B569E491D4B2}"/>
    <cellStyle name="Comma 4 4 3" xfId="24" xr:uid="{1E1EC441-DC5C-4382-BFF9-C3215C931512}"/>
    <cellStyle name="Hyperlink" xfId="2" builtinId="8"/>
    <cellStyle name="Hyperlink 2 2" xfId="22" xr:uid="{3B0D4DBE-1B50-45EB-A122-06DA9A86B080}"/>
    <cellStyle name="Normal" xfId="0" builtinId="0"/>
    <cellStyle name="Normal 13 2" xfId="45" xr:uid="{FF125677-AFF6-42DB-9A36-FA882BF12714}"/>
    <cellStyle name="Normal 13 2 2" xfId="31" xr:uid="{CC761C97-0C48-4419-A799-8A40AA174666}"/>
    <cellStyle name="Normal 13 2 4 2" xfId="20" xr:uid="{4682A162-6AFE-4A1C-B0EF-F311463E2062}"/>
    <cellStyle name="Normal 2" xfId="4" xr:uid="{A6EE1D3E-02E9-4642-B76B-12F96C2304FD}"/>
    <cellStyle name="Normal 2 2" xfId="33" xr:uid="{9923754E-3D3E-40EF-97D3-1DDE443C69F1}"/>
    <cellStyle name="Normal 2 3" xfId="32" xr:uid="{1D58B0C1-7158-4785-9FB9-DCB9D9C0054A}"/>
    <cellStyle name="Normal 2 4" xfId="46" xr:uid="{8ADFDED1-6D43-41B6-A590-E251859384AA}"/>
    <cellStyle name="Normal 3 4" xfId="34" xr:uid="{6AE23830-0C52-48FB-8CB9-A25E69EC8A9B}"/>
    <cellStyle name="Normal 5 2" xfId="35" xr:uid="{14317580-1FBA-44C3-9F97-CDE66D735B4F}"/>
    <cellStyle name="Normal 7" xfId="36" xr:uid="{CEA39D5B-FE70-4270-81C2-E7EFBE6CA4BA}"/>
    <cellStyle name="Normal 7 2" xfId="47" xr:uid="{00921C1E-7997-4BE0-A5AC-7EEA9F61C74C}"/>
    <cellStyle name="Normal 7 2 2" xfId="18" xr:uid="{C165F039-11E8-4BA8-AEB3-387E36EB4045}"/>
    <cellStyle name="Normal 8" xfId="44" xr:uid="{8C094531-E669-48D3-8AD5-88D15E532854}"/>
    <cellStyle name="Normal 8 2" xfId="19" xr:uid="{2078002F-78D8-4911-8588-9232D86ECF08}"/>
    <cellStyle name="Normal 9" xfId="38" xr:uid="{A08E4BA9-14BD-4375-9BAA-AA01598B81FB}"/>
    <cellStyle name="Per cent" xfId="1" builtinId="5"/>
    <cellStyle name="Percent 2" xfId="5" xr:uid="{12DB4FCF-1D8C-422F-90A1-A6146FE75A3D}"/>
    <cellStyle name="Percent 2 2" xfId="37" xr:uid="{7C56FBB4-C208-47D1-86CD-16E232783B60}"/>
    <cellStyle name="Percent 2 4 2" xfId="39" xr:uid="{1B392EED-3BC6-4A30-B518-28DADE68A0DA}"/>
    <cellStyle name="Percent 3 2" xfId="40" xr:uid="{985F31EC-D18B-4527-8D1D-113129D0386E}"/>
    <cellStyle name="Percent 4 2" xfId="41" xr:uid="{F76CF021-7FE0-433E-9643-429B3E92C299}"/>
  </cellStyles>
  <dxfs count="21">
    <dxf>
      <font>
        <strike val="0"/>
        <outline val="0"/>
        <shadow val="0"/>
        <u val="none"/>
        <vertAlign val="baseline"/>
        <sz val="12"/>
        <name val="Foundry Form Sans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Foundry Form Sans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Foundry Form Sans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Foundry Form Sans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Foundry Form Sans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Foundry Form Sans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Foundry Form Sans"/>
        <scheme val="none"/>
      </font>
      <numFmt numFmtId="19" formatCode="dd/mm/yyyy"/>
      <fill>
        <patternFill patternType="none">
          <fgColor indexed="64"/>
          <bgColor auto="1"/>
        </patternFill>
      </fill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2"/>
        <name val="Foundry Form Sans"/>
        <scheme val="none"/>
      </font>
      <numFmt numFmtId="167" formatCode="&quot;£&quot;#,##0"/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Foundry Form Sans"/>
        <scheme val="none"/>
      </font>
      <numFmt numFmtId="167" formatCode="&quot;£&quot;#,##0"/>
      <fill>
        <patternFill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name val="Foundry Form Sans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Foundry Form Sans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name val="Foundry Form Sans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name val="Foundry Form Sans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name val="Foundry Form Sans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Foundry Form Sans"/>
        <scheme val="none"/>
      </font>
      <numFmt numFmtId="19" formatCode="dd/mm/yyyy"/>
      <fill>
        <patternFill patternType="none">
          <fgColor indexed="64"/>
          <bgColor indexed="65"/>
        </patternFill>
      </fill>
    </dxf>
    <dxf>
      <border outline="0">
        <right style="thin">
          <color auto="1"/>
        </right>
      </border>
    </dxf>
    <dxf>
      <font>
        <strike val="0"/>
        <outline val="0"/>
        <shadow val="0"/>
        <u val="none"/>
        <vertAlign val="baseline"/>
        <name val="Foundry Form Sans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color auto="1"/>
        <name val="Foundry Form Sans"/>
        <scheme val="none"/>
      </font>
      <fill>
        <patternFill patternType="none">
          <fgColor indexed="64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6.xml"/><Relationship Id="rId1" Type="http://schemas.microsoft.com/office/2011/relationships/chartStyle" Target="style6.xml"/><Relationship Id="rId4" Type="http://schemas.openxmlformats.org/officeDocument/2006/relationships/chartUserShapes" Target="../drawings/drawing8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7.xml"/><Relationship Id="rId1" Type="http://schemas.microsoft.com/office/2011/relationships/chartStyle" Target="style7.xml"/><Relationship Id="rId4" Type="http://schemas.openxmlformats.org/officeDocument/2006/relationships/chartUserShapes" Target="../drawings/drawing10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8.xml"/><Relationship Id="rId1" Type="http://schemas.microsoft.com/office/2011/relationships/chartStyle" Target="style8.xml"/><Relationship Id="rId4" Type="http://schemas.openxmlformats.org/officeDocument/2006/relationships/chartUserShapes" Target="../drawings/drawing12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1.xml"/><Relationship Id="rId1" Type="http://schemas.microsoft.com/office/2011/relationships/chartStyle" Target="style11.xml"/><Relationship Id="rId4" Type="http://schemas.openxmlformats.org/officeDocument/2006/relationships/chartUserShapes" Target="../drawings/drawing16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2.xml"/><Relationship Id="rId1" Type="http://schemas.microsoft.com/office/2011/relationships/chartStyle" Target="style12.xml"/><Relationship Id="rId4" Type="http://schemas.openxmlformats.org/officeDocument/2006/relationships/chartUserShapes" Target="../drawings/drawing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Foundry Form Sans" panose="02000503050000020004" pitchFamily="2" charset="0"/>
                <a:ea typeface="+mn-ea"/>
                <a:cs typeface="+mn-cs"/>
              </a:defRPr>
            </a:pPr>
            <a:r>
              <a:rPr lang="en-GB"/>
              <a:t>Proportion of households by tenure, London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Foundry Form Sans" panose="0200050305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'Households in PRS'!$C$8</c:f>
              <c:strCache>
                <c:ptCount val="1"/>
                <c:pt idx="0">
                  <c:v>owners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'Households in PRS'!$B$9:$B$24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'Households in PRS'!$C$9:$C$24</c:f>
              <c:numCache>
                <c:formatCode>0%</c:formatCode>
                <c:ptCount val="16"/>
                <c:pt idx="0">
                  <c:v>0.52942466844196701</c:v>
                </c:pt>
                <c:pt idx="1">
                  <c:v>0.53455103881893395</c:v>
                </c:pt>
                <c:pt idx="2">
                  <c:v>0.50699279440617795</c:v>
                </c:pt>
                <c:pt idx="3">
                  <c:v>0.49234645304137797</c:v>
                </c:pt>
                <c:pt idx="4">
                  <c:v>0.506981772213288</c:v>
                </c:pt>
                <c:pt idx="5">
                  <c:v>0.481546667939588</c:v>
                </c:pt>
                <c:pt idx="6">
                  <c:v>0.495368383428683</c:v>
                </c:pt>
                <c:pt idx="7">
                  <c:v>0.49383817609487501</c:v>
                </c:pt>
                <c:pt idx="8">
                  <c:v>0.47504079208799199</c:v>
                </c:pt>
                <c:pt idx="9">
                  <c:v>0.483485856017972</c:v>
                </c:pt>
                <c:pt idx="10">
                  <c:v>0.49982047726242101</c:v>
                </c:pt>
                <c:pt idx="11">
                  <c:v>0.49603233755981602</c:v>
                </c:pt>
                <c:pt idx="12">
                  <c:v>0.50724997095009505</c:v>
                </c:pt>
                <c:pt idx="13">
                  <c:v>0.48931205688269502</c:v>
                </c:pt>
                <c:pt idx="14">
                  <c:v>0.48530544210722298</c:v>
                </c:pt>
                <c:pt idx="15">
                  <c:v>0.47475739458368799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F2-4439-907B-2DBC758769AE}"/>
            </c:ext>
          </c:extLst>
        </c:ser>
        <c:ser>
          <c:idx val="1"/>
          <c:order val="1"/>
          <c:tx>
            <c:strRef>
              <c:f>'Households in PRS'!$D$8</c:f>
              <c:strCache>
                <c:ptCount val="1"/>
                <c:pt idx="0">
                  <c:v>social sector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'Households in PRS'!$B$9:$B$24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'Households in PRS'!$D$9:$D$24</c:f>
              <c:numCache>
                <c:formatCode>0%</c:formatCode>
                <c:ptCount val="16"/>
                <c:pt idx="0">
                  <c:v>0.25530840178376801</c:v>
                </c:pt>
                <c:pt idx="1">
                  <c:v>0.234982210029616</c:v>
                </c:pt>
                <c:pt idx="2">
                  <c:v>0.23929539738421801</c:v>
                </c:pt>
                <c:pt idx="3">
                  <c:v>0.247151909185582</c:v>
                </c:pt>
                <c:pt idx="4">
                  <c:v>0.25158256792591399</c:v>
                </c:pt>
                <c:pt idx="5">
                  <c:v>0.222698674325916</c:v>
                </c:pt>
                <c:pt idx="6">
                  <c:v>0.23263325142337399</c:v>
                </c:pt>
                <c:pt idx="7">
                  <c:v>0.22516824506392799</c:v>
                </c:pt>
                <c:pt idx="8">
                  <c:v>0.22477092681824701</c:v>
                </c:pt>
                <c:pt idx="9">
                  <c:v>0.22659778990617499</c:v>
                </c:pt>
                <c:pt idx="10">
                  <c:v>0.22739107025845401</c:v>
                </c:pt>
                <c:pt idx="11">
                  <c:v>0.22244280301915201</c:v>
                </c:pt>
                <c:pt idx="12">
                  <c:v>0.22497377183894701</c:v>
                </c:pt>
                <c:pt idx="13">
                  <c:v>0.218470504061237</c:v>
                </c:pt>
                <c:pt idx="14">
                  <c:v>0.20757637992676001</c:v>
                </c:pt>
                <c:pt idx="15">
                  <c:v>0.20764353214697501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F2-4439-907B-2DBC758769AE}"/>
            </c:ext>
          </c:extLst>
        </c:ser>
        <c:ser>
          <c:idx val="2"/>
          <c:order val="2"/>
          <c:tx>
            <c:strRef>
              <c:f>'Households in PRS'!$E$8</c:f>
              <c:strCache>
                <c:ptCount val="1"/>
                <c:pt idx="0">
                  <c:v>private renters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'Households in PRS'!$B$9:$B$24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'Households in PRS'!$E$9:$E$24</c:f>
              <c:numCache>
                <c:formatCode>0%</c:formatCode>
                <c:ptCount val="16"/>
                <c:pt idx="0">
                  <c:v>0.21526692977426501</c:v>
                </c:pt>
                <c:pt idx="1">
                  <c:v>0.23046675115144899</c:v>
                </c:pt>
                <c:pt idx="2">
                  <c:v>0.25371180820960398</c:v>
                </c:pt>
                <c:pt idx="3">
                  <c:v>0.26050163777303997</c:v>
                </c:pt>
                <c:pt idx="4">
                  <c:v>0.24143565986079801</c:v>
                </c:pt>
                <c:pt idx="5">
                  <c:v>0.295754657734496</c:v>
                </c:pt>
                <c:pt idx="6">
                  <c:v>0.27199836514794401</c:v>
                </c:pt>
                <c:pt idx="7">
                  <c:v>0.28099357884119702</c:v>
                </c:pt>
                <c:pt idx="8">
                  <c:v>0.300188281093762</c:v>
                </c:pt>
                <c:pt idx="9">
                  <c:v>0.28991635407585298</c:v>
                </c:pt>
                <c:pt idx="10">
                  <c:v>0.27278845247912598</c:v>
                </c:pt>
                <c:pt idx="11">
                  <c:v>0.281524859421032</c:v>
                </c:pt>
                <c:pt idx="12">
                  <c:v>0.26777625721095799</c:v>
                </c:pt>
                <c:pt idx="13">
                  <c:v>0.29221743905606801</c:v>
                </c:pt>
                <c:pt idx="14">
                  <c:v>0.30711817796601698</c:v>
                </c:pt>
                <c:pt idx="15">
                  <c:v>0.31759907326933801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F2-4439-907B-2DBC75876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117624"/>
        <c:axId val="1683115104"/>
      </c:lineChart>
      <c:catAx>
        <c:axId val="1683117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Foundry Form Sans" panose="02000503050000020004" pitchFamily="2" charset="0"/>
                <a:ea typeface="+mn-ea"/>
                <a:cs typeface="+mn-cs"/>
              </a:defRPr>
            </a:pPr>
            <a:endParaRPr lang="en-US"/>
          </a:p>
        </c:txPr>
        <c:crossAx val="1683115104"/>
        <c:crosses val="autoZero"/>
        <c:auto val="1"/>
        <c:lblAlgn val="ctr"/>
        <c:lblOffset val="100"/>
        <c:tickLblSkip val="3"/>
        <c:noMultiLvlLbl val="0"/>
      </c:catAx>
      <c:valAx>
        <c:axId val="16831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7E6E6"/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Foundry Form Sans" panose="02000503050000020004" pitchFamily="2" charset="0"/>
                <a:ea typeface="+mn-ea"/>
                <a:cs typeface="+mn-cs"/>
              </a:defRPr>
            </a:pPr>
            <a:endParaRPr lang="en-US"/>
          </a:p>
        </c:txPr>
        <c:crossAx val="1683117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Foundry Form Sans" panose="0200050305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 year rolling average PRS length of stay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740370435743118E-2"/>
          <c:y val="0.11461427412916059"/>
          <c:w val="0.82078347051228762"/>
          <c:h val="0.83737250100493188"/>
        </c:manualLayout>
      </c:layout>
      <c:barChart>
        <c:barDir val="col"/>
        <c:grouping val="percentStacked"/>
        <c:varyColors val="0"/>
        <c:ser>
          <c:idx val="7"/>
          <c:order val="0"/>
          <c:tx>
            <c:strRef>
              <c:f>'Length of stay'!$H$8</c:f>
              <c:strCache>
                <c:ptCount val="1"/>
                <c:pt idx="0">
                  <c:v>0 - 1 year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'Length of stay'!$B$9:$B$20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cat>
          <c:val>
            <c:numRef>
              <c:f>'Length of stay'!$H$9:$H$20</c:f>
              <c:numCache>
                <c:formatCode>0%</c:formatCode>
                <c:ptCount val="12"/>
                <c:pt idx="2">
                  <c:v>0.50597413859795504</c:v>
                </c:pt>
                <c:pt idx="3">
                  <c:v>0.47606895622214035</c:v>
                </c:pt>
                <c:pt idx="4">
                  <c:v>0.42380647644173264</c:v>
                </c:pt>
                <c:pt idx="5">
                  <c:v>0.40393541512041969</c:v>
                </c:pt>
                <c:pt idx="6">
                  <c:v>0.40591401334323901</c:v>
                </c:pt>
                <c:pt idx="7">
                  <c:v>0.40793473134946862</c:v>
                </c:pt>
                <c:pt idx="8">
                  <c:v>0.392851782789787</c:v>
                </c:pt>
                <c:pt idx="9">
                  <c:v>0.39707424819033199</c:v>
                </c:pt>
                <c:pt idx="10">
                  <c:v>0.41075348209293666</c:v>
                </c:pt>
                <c:pt idx="11">
                  <c:v>0.40607574077736763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704-4D22-AEF1-42C77F84F581}"/>
            </c:ext>
          </c:extLst>
        </c:ser>
        <c:ser>
          <c:idx val="8"/>
          <c:order val="1"/>
          <c:tx>
            <c:strRef>
              <c:f>'Length of stay'!$I$8</c:f>
              <c:strCache>
                <c:ptCount val="1"/>
                <c:pt idx="0">
                  <c:v> 2 years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'Length of stay'!$B$9:$B$20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cat>
          <c:val>
            <c:numRef>
              <c:f>'Length of stay'!$I$9:$I$20</c:f>
              <c:numCache>
                <c:formatCode>0%</c:formatCode>
                <c:ptCount val="12"/>
                <c:pt idx="2">
                  <c:v>0.13290212137040933</c:v>
                </c:pt>
                <c:pt idx="3">
                  <c:v>0.15632438024596731</c:v>
                </c:pt>
                <c:pt idx="4">
                  <c:v>0.17563151831804</c:v>
                </c:pt>
                <c:pt idx="5">
                  <c:v>0.19108205292484268</c:v>
                </c:pt>
                <c:pt idx="6">
                  <c:v>0.17324760270574768</c:v>
                </c:pt>
                <c:pt idx="7">
                  <c:v>0.16396138855190667</c:v>
                </c:pt>
                <c:pt idx="8">
                  <c:v>0.15823982588104968</c:v>
                </c:pt>
                <c:pt idx="9">
                  <c:v>0.15862991242664068</c:v>
                </c:pt>
                <c:pt idx="10">
                  <c:v>0.16308241354845399</c:v>
                </c:pt>
                <c:pt idx="11">
                  <c:v>0.17632985360004669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704-4D22-AEF1-42C77F84F581}"/>
            </c:ext>
          </c:extLst>
        </c:ser>
        <c:ser>
          <c:idx val="9"/>
          <c:order val="2"/>
          <c:tx>
            <c:strRef>
              <c:f>'Length of stay'!$J$8</c:f>
              <c:strCache>
                <c:ptCount val="1"/>
                <c:pt idx="0">
                  <c:v>3-4 years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'Length of stay'!$B$9:$B$20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cat>
          <c:val>
            <c:numRef>
              <c:f>'Length of stay'!$J$9:$J$20</c:f>
              <c:numCache>
                <c:formatCode>General</c:formatCode>
                <c:ptCount val="12"/>
                <c:pt idx="2" formatCode="0%">
                  <c:v>0.15062253247718535</c:v>
                </c:pt>
                <c:pt idx="3" formatCode="0%">
                  <c:v>0.151651730019257</c:v>
                </c:pt>
                <c:pt idx="4" formatCode="0%">
                  <c:v>0.17660131104506635</c:v>
                </c:pt>
                <c:pt idx="5" formatCode="0%">
                  <c:v>0.15963625481848134</c:v>
                </c:pt>
                <c:pt idx="6" formatCode="0%">
                  <c:v>0.16435527009117068</c:v>
                </c:pt>
                <c:pt idx="7" formatCode="0%">
                  <c:v>0.16910638295988201</c:v>
                </c:pt>
                <c:pt idx="8" formatCode="0%">
                  <c:v>0.18999020144750967</c:v>
                </c:pt>
                <c:pt idx="9" formatCode="0%">
                  <c:v>0.19513682962983434</c:v>
                </c:pt>
                <c:pt idx="10" formatCode="0%">
                  <c:v>0.17513391648447965</c:v>
                </c:pt>
                <c:pt idx="11" formatCode="0%">
                  <c:v>0.17819343735058735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704-4D22-AEF1-42C77F84F581}"/>
            </c:ext>
          </c:extLst>
        </c:ser>
        <c:ser>
          <c:idx val="10"/>
          <c:order val="3"/>
          <c:tx>
            <c:strRef>
              <c:f>'Length of stay'!$K$8</c:f>
              <c:strCache>
                <c:ptCount val="1"/>
                <c:pt idx="0">
                  <c:v>5-9 years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'Length of stay'!$B$9:$B$20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cat>
          <c:val>
            <c:numRef>
              <c:f>'Length of stay'!$K$9:$K$20</c:f>
              <c:numCache>
                <c:formatCode>General</c:formatCode>
                <c:ptCount val="12"/>
                <c:pt idx="2" formatCode="0%">
                  <c:v>0.133979019722722</c:v>
                </c:pt>
                <c:pt idx="3" formatCode="0%">
                  <c:v>0.14198188050200167</c:v>
                </c:pt>
                <c:pt idx="4" formatCode="0%">
                  <c:v>0.15604780631439266</c:v>
                </c:pt>
                <c:pt idx="5" formatCode="0%">
                  <c:v>0.16312488012193269</c:v>
                </c:pt>
                <c:pt idx="6" formatCode="0%">
                  <c:v>0.15668809345740367</c:v>
                </c:pt>
                <c:pt idx="7" formatCode="0%">
                  <c:v>0.14778935168132135</c:v>
                </c:pt>
                <c:pt idx="8" formatCode="0%">
                  <c:v>0.15727153028761634</c:v>
                </c:pt>
                <c:pt idx="9" formatCode="0%">
                  <c:v>0.14570930490462167</c:v>
                </c:pt>
                <c:pt idx="10" formatCode="0%">
                  <c:v>0.14364655099008902</c:v>
                </c:pt>
                <c:pt idx="11" formatCode="0%">
                  <c:v>0.12658103023453668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704-4D22-AEF1-42C77F84F581}"/>
            </c:ext>
          </c:extLst>
        </c:ser>
        <c:ser>
          <c:idx val="11"/>
          <c:order val="4"/>
          <c:tx>
            <c:strRef>
              <c:f>'Length of stay'!$L$8</c:f>
              <c:strCache>
                <c:ptCount val="1"/>
                <c:pt idx="0">
                  <c:v>10-19 years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'Length of stay'!$B$9:$B$20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cat>
          <c:val>
            <c:numRef>
              <c:f>'Length of stay'!$L$9:$L$20</c:f>
              <c:numCache>
                <c:formatCode>General</c:formatCode>
                <c:ptCount val="12"/>
                <c:pt idx="2" formatCode="0%">
                  <c:v>7.6522187831728747E-2</c:v>
                </c:pt>
                <c:pt idx="3" formatCode="0%">
                  <c:v>7.3275526144284939E-2</c:v>
                </c:pt>
                <c:pt idx="4" formatCode="0%">
                  <c:v>6.7215361014419481E-2</c:v>
                </c:pt>
                <c:pt idx="5" formatCode="0%">
                  <c:v>8.1523870147974575E-2</c:v>
                </c:pt>
                <c:pt idx="6" formatCode="0%">
                  <c:v>9.9795020402438595E-2</c:v>
                </c:pt>
                <c:pt idx="7" formatCode="0%">
                  <c:v>0.11120814545742101</c:v>
                </c:pt>
                <c:pt idx="8" formatCode="0%">
                  <c:v>0.10164665959403714</c:v>
                </c:pt>
                <c:pt idx="9" formatCode="0%">
                  <c:v>0.10344970484857113</c:v>
                </c:pt>
                <c:pt idx="10" formatCode="0%">
                  <c:v>0.1073836368840408</c:v>
                </c:pt>
                <c:pt idx="11" formatCode="0%">
                  <c:v>0.11281993803746183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704-4D22-AEF1-42C77F84F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34024912"/>
        <c:axId val="1034017712"/>
        <c:extLst>
          <c:ext xmlns:c15="http://schemas.microsoft.com/office/drawing/2012/chart" uri="{02D57815-91ED-43cb-92C2-25804820EDAC}">
            <c15:filteredBarSeries>
              <c15:ser>
                <c:idx val="12"/>
                <c:order val="5"/>
                <c:tx>
                  <c:strRef>
                    <c:extLst>
                      <c:ext uri="{02D57815-91ED-43cb-92C2-25804820EDAC}">
                        <c15:formulaRef>
                          <c15:sqref>'Length of stay'!#REF!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'Length of stay'!$B$9:$B$20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2012</c:v>
                      </c:pt>
                      <c:pt idx="1">
                        <c:v>2013</c:v>
                      </c:pt>
                      <c:pt idx="2">
                        <c:v>2014</c:v>
                      </c:pt>
                      <c:pt idx="3">
                        <c:v>2015</c:v>
                      </c:pt>
                      <c:pt idx="4">
                        <c:v>2016</c:v>
                      </c:pt>
                      <c:pt idx="5">
                        <c:v>2017</c:v>
                      </c:pt>
                      <c:pt idx="6">
                        <c:v>2018</c:v>
                      </c:pt>
                      <c:pt idx="7">
                        <c:v>2019</c:v>
                      </c:pt>
                      <c:pt idx="8">
                        <c:v>2020</c:v>
                      </c:pt>
                      <c:pt idx="9">
                        <c:v>2021</c:v>
                      </c:pt>
                      <c:pt idx="10">
                        <c:v>2022</c:v>
                      </c:pt>
                      <c:pt idx="11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'Length of stay'!#REF!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3704-4D22-AEF1-42C77F84F581}"/>
                  </c:ext>
                </c:extLst>
              </c15:ser>
            </c15:filteredBarSeries>
          </c:ext>
        </c:extLst>
      </c:barChart>
      <c:catAx>
        <c:axId val="103402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017712"/>
        <c:crosses val="autoZero"/>
        <c:auto val="1"/>
        <c:lblAlgn val="ctr"/>
        <c:lblOffset val="100"/>
        <c:noMultiLvlLbl val="0"/>
      </c:catAx>
      <c:valAx>
        <c:axId val="103401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02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'Type of lets'!$E$7</c:f>
              <c:strCache>
                <c:ptCount val="1"/>
                <c:pt idx="0">
                  <c:v>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'Type of lets'!$B$8:$B$13</c:f>
              <c:strCache>
                <c:ptCount val="6"/>
                <c:pt idx="0">
                  <c:v>Assured shorthold</c:v>
                </c:pt>
                <c:pt idx="1">
                  <c:v>Assured (for tenancies starting between 1989-1997)</c:v>
                </c:pt>
                <c:pt idx="2">
                  <c:v>Regulated (tenancy must have started in 1988 or earlier)</c:v>
                </c:pt>
                <c:pt idx="3">
                  <c:v>Resident landlord</c:v>
                </c:pt>
                <c:pt idx="4">
                  <c:v>Let by educational institution</c:v>
                </c:pt>
                <c:pt idx="5">
                  <c:v>Other type of let</c:v>
                </c:pt>
              </c:strCache>
            </c:strRef>
          </c:cat>
          <c:val>
            <c:numRef>
              <c:f>'Type of lets'!$E$8:$E$13</c:f>
              <c:numCache>
                <c:formatCode>0%</c:formatCode>
                <c:ptCount val="6"/>
                <c:pt idx="0">
                  <c:v>0.84285815833250599</c:v>
                </c:pt>
                <c:pt idx="1">
                  <c:v>3.0099933847622998E-2</c:v>
                </c:pt>
                <c:pt idx="2">
                  <c:v>7.4383981363422697E-3</c:v>
                </c:pt>
                <c:pt idx="3">
                  <c:v>2.6345053225662701E-2</c:v>
                </c:pt>
                <c:pt idx="4">
                  <c:v>2.3318773178248901E-3</c:v>
                </c:pt>
                <c:pt idx="5">
                  <c:v>9.0926579140040806E-2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B-4B87-A7C6-9C8F9C804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7594960"/>
        <c:axId val="1887596040"/>
      </c:barChart>
      <c:catAx>
        <c:axId val="188759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596040"/>
        <c:crosses val="autoZero"/>
        <c:auto val="1"/>
        <c:lblAlgn val="ctr"/>
        <c:lblOffset val="100"/>
        <c:noMultiLvlLbl val="0"/>
      </c:catAx>
      <c:valAx>
        <c:axId val="1887596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594960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'Citizen advice trends'!$C$8</c:f>
              <c:strCache>
                <c:ptCount val="1"/>
                <c:pt idx="0">
                  <c:v>Race including nationality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trends'!$D$8:$R$8</c:f>
            </c:numRef>
          </c:val>
          <c:smooth val="0"/>
          <c:extLst>
            <c:ext xmlns:c16="http://schemas.microsoft.com/office/drawing/2014/chart" uri="{C3380CC4-5D6E-409C-BE32-E72D297353CC}">
              <c16:uniqueId val="{00000000-2373-4EEB-A496-342A1E007216}"/>
            </c:ext>
          </c:extLst>
        </c:ser>
        <c:ser>
          <c:idx val="1"/>
          <c:order val="1"/>
          <c:tx>
            <c:strRef>
              <c:f>'Citizen advice trends'!$C$9</c:f>
              <c:strCache>
                <c:ptCount val="1"/>
                <c:pt idx="0">
                  <c:v>sex/gender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trends'!$D$9:$R$9</c:f>
            </c:numRef>
          </c:val>
          <c:smooth val="0"/>
          <c:extLst>
            <c:ext xmlns:c16="http://schemas.microsoft.com/office/drawing/2014/chart" uri="{C3380CC4-5D6E-409C-BE32-E72D297353CC}">
              <c16:uniqueId val="{00000001-2373-4EEB-A496-342A1E007216}"/>
            </c:ext>
          </c:extLst>
        </c:ser>
        <c:ser>
          <c:idx val="2"/>
          <c:order val="2"/>
          <c:tx>
            <c:strRef>
              <c:f>'Citizen advice trends'!$C$10</c:f>
              <c:strCache>
                <c:ptCount val="1"/>
                <c:pt idx="0">
                  <c:v>sexual orientation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trends'!$D$10:$R$10</c:f>
            </c:numRef>
          </c:val>
          <c:smooth val="0"/>
          <c:extLst>
            <c:ext xmlns:c16="http://schemas.microsoft.com/office/drawing/2014/chart" uri="{C3380CC4-5D6E-409C-BE32-E72D297353CC}">
              <c16:uniqueId val="{00000002-2373-4EEB-A496-342A1E007216}"/>
            </c:ext>
          </c:extLst>
        </c:ser>
        <c:ser>
          <c:idx val="3"/>
          <c:order val="3"/>
          <c:tx>
            <c:strRef>
              <c:f>'Citizen advice trends'!$C$11</c:f>
              <c:strCache>
                <c:ptCount val="1"/>
                <c:pt idx="0">
                  <c:v>mental health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trends'!$D$11:$R$11</c:f>
            </c:numRef>
          </c:val>
          <c:smooth val="0"/>
          <c:extLst>
            <c:ext xmlns:c16="http://schemas.microsoft.com/office/drawing/2014/chart" uri="{C3380CC4-5D6E-409C-BE32-E72D297353CC}">
              <c16:uniqueId val="{00000003-2373-4EEB-A496-342A1E007216}"/>
            </c:ext>
          </c:extLst>
        </c:ser>
        <c:ser>
          <c:idx val="4"/>
          <c:order val="4"/>
          <c:tx>
            <c:strRef>
              <c:f>'Citizen advice trends'!$C$12</c:f>
              <c:strCache>
                <c:ptCount val="1"/>
                <c:pt idx="0">
                  <c:v>Disability excluding mental health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trends'!$D$12:$R$12</c:f>
            </c:numRef>
          </c:val>
          <c:smooth val="0"/>
          <c:extLst>
            <c:ext xmlns:c16="http://schemas.microsoft.com/office/drawing/2014/chart" uri="{C3380CC4-5D6E-409C-BE32-E72D297353CC}">
              <c16:uniqueId val="{00000004-2373-4EEB-A496-342A1E007216}"/>
            </c:ext>
          </c:extLst>
        </c:ser>
        <c:ser>
          <c:idx val="5"/>
          <c:order val="5"/>
          <c:tx>
            <c:strRef>
              <c:f>'Citizen advice trends'!$C$13</c:f>
              <c:strCache>
                <c:ptCount val="1"/>
                <c:pt idx="0">
                  <c:v>Age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trends'!$D$13:$R$13</c:f>
            </c:numRef>
          </c:val>
          <c:smooth val="0"/>
          <c:extLst>
            <c:ext xmlns:c16="http://schemas.microsoft.com/office/drawing/2014/chart" uri="{C3380CC4-5D6E-409C-BE32-E72D297353CC}">
              <c16:uniqueId val="{00000005-2373-4EEB-A496-342A1E007216}"/>
            </c:ext>
          </c:extLst>
        </c:ser>
        <c:ser>
          <c:idx val="6"/>
          <c:order val="6"/>
          <c:tx>
            <c:strRef>
              <c:f>'Citizen advice trends'!$C$14</c:f>
              <c:strCache>
                <c:ptCount val="1"/>
                <c:pt idx="0">
                  <c:v>Religion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trends'!$D$14:$R$14</c:f>
            </c:numRef>
          </c:val>
          <c:smooth val="0"/>
          <c:extLst>
            <c:ext xmlns:c16="http://schemas.microsoft.com/office/drawing/2014/chart" uri="{C3380CC4-5D6E-409C-BE32-E72D297353CC}">
              <c16:uniqueId val="{00000006-2373-4EEB-A496-342A1E007216}"/>
            </c:ext>
          </c:extLst>
        </c:ser>
        <c:ser>
          <c:idx val="7"/>
          <c:order val="7"/>
          <c:tx>
            <c:strRef>
              <c:f>'Citizen advice trends'!$C$15</c:f>
              <c:strCache>
                <c:ptCount val="1"/>
                <c:pt idx="0">
                  <c:v>Being on benefit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trends'!$D$15:$R$15</c:f>
            </c:numRef>
          </c:val>
          <c:smooth val="0"/>
          <c:extLst>
            <c:ext xmlns:c16="http://schemas.microsoft.com/office/drawing/2014/chart" uri="{C3380CC4-5D6E-409C-BE32-E72D297353CC}">
              <c16:uniqueId val="{00000007-2373-4EEB-A496-342A1E007216}"/>
            </c:ext>
          </c:extLst>
        </c:ser>
        <c:ser>
          <c:idx val="8"/>
          <c:order val="8"/>
          <c:tx>
            <c:strRef>
              <c:f>'Citizen advice trends'!$C$16</c:f>
              <c:strCache>
                <c:ptCount val="1"/>
                <c:pt idx="0">
                  <c:v>Not recorded/not applicable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trends'!$D$16:$R$16</c:f>
            </c:numRef>
          </c:val>
          <c:smooth val="0"/>
          <c:extLst>
            <c:ext xmlns:c16="http://schemas.microsoft.com/office/drawing/2014/chart" uri="{C3380CC4-5D6E-409C-BE32-E72D297353CC}">
              <c16:uniqueId val="{00000008-2373-4EEB-A496-342A1E007216}"/>
            </c:ext>
          </c:extLst>
        </c:ser>
        <c:ser>
          <c:idx val="9"/>
          <c:order val="9"/>
          <c:tx>
            <c:strRef>
              <c:f>'Citizen advice trends'!$C$17</c:f>
              <c:strCache>
                <c:ptCount val="1"/>
                <c:pt idx="0">
                  <c:v>Pregnancy &amp; maternity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trends'!$D$17:$R$17</c:f>
            </c:numRef>
          </c:val>
          <c:smooth val="0"/>
          <c:extLst>
            <c:ext xmlns:c16="http://schemas.microsoft.com/office/drawing/2014/chart" uri="{C3380CC4-5D6E-409C-BE32-E72D297353CC}">
              <c16:uniqueId val="{00000009-2373-4EEB-A496-342A1E007216}"/>
            </c:ext>
          </c:extLst>
        </c:ser>
        <c:ser>
          <c:idx val="10"/>
          <c:order val="10"/>
          <c:tx>
            <c:strRef>
              <c:f>'Citizen advice trends'!$C$18</c:f>
              <c:strCache>
                <c:ptCount val="1"/>
                <c:pt idx="0">
                  <c:v>Gender identity (Trans or non-binary)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trends'!$D$18:$R$18</c:f>
            </c:numRef>
          </c:val>
          <c:smooth val="0"/>
          <c:extLst>
            <c:ext xmlns:c16="http://schemas.microsoft.com/office/drawing/2014/chart" uri="{C3380CC4-5D6E-409C-BE32-E72D297353CC}">
              <c16:uniqueId val="{0000000A-2373-4EEB-A496-342A1E007216}"/>
            </c:ext>
          </c:extLst>
        </c:ser>
        <c:ser>
          <c:idx val="11"/>
          <c:order val="11"/>
          <c:tx>
            <c:strRef>
              <c:f>'Citizen advice trends'!$C$19</c:f>
              <c:strCache>
                <c:ptCount val="1"/>
                <c:pt idx="0">
                  <c:v>Relatives/friends unable/unwilling to host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trends'!$D$19:$R$19</c:f>
            </c:numRef>
          </c:val>
          <c:smooth val="0"/>
          <c:extLst>
            <c:ext xmlns:c16="http://schemas.microsoft.com/office/drawing/2014/chart" uri="{C3380CC4-5D6E-409C-BE32-E72D297353CC}">
              <c16:uniqueId val="{0000000B-2373-4EEB-A496-342A1E007216}"/>
            </c:ext>
          </c:extLst>
        </c:ser>
        <c:ser>
          <c:idx val="12"/>
          <c:order val="12"/>
          <c:tx>
            <c:strRef>
              <c:f>'Citizen advice trends'!$C$20</c:f>
              <c:strCache>
                <c:ptCount val="1"/>
                <c:pt idx="0">
                  <c:v>Relationship breakdown (excluding divorce)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trends'!$D$20:$R$20</c:f>
            </c:numRef>
          </c:val>
          <c:smooth val="0"/>
          <c:extLst>
            <c:ext xmlns:c16="http://schemas.microsoft.com/office/drawing/2014/chart" uri="{C3380CC4-5D6E-409C-BE32-E72D297353CC}">
              <c16:uniqueId val="{0000000C-2373-4EEB-A496-342A1E007216}"/>
            </c:ext>
          </c:extLst>
        </c:ser>
        <c:ser>
          <c:idx val="13"/>
          <c:order val="13"/>
          <c:tx>
            <c:strRef>
              <c:f>'Citizen advice trends'!$C$21</c:f>
              <c:strCache>
                <c:ptCount val="1"/>
                <c:pt idx="0">
                  <c:v>Domestic abuse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trends'!$D$21:$R$21</c:f>
            </c:numRef>
          </c:val>
          <c:smooth val="0"/>
          <c:extLst>
            <c:ext xmlns:c16="http://schemas.microsoft.com/office/drawing/2014/chart" uri="{C3380CC4-5D6E-409C-BE32-E72D297353CC}">
              <c16:uniqueId val="{0000000D-2373-4EEB-A496-342A1E007216}"/>
            </c:ext>
          </c:extLst>
        </c:ser>
        <c:ser>
          <c:idx val="14"/>
          <c:order val="14"/>
          <c:tx>
            <c:strRef>
              <c:f>'Citizen advice trends'!$C$22</c:f>
              <c:strCache>
                <c:ptCount val="1"/>
                <c:pt idx="0">
                  <c:v>Harassment/illegal eviction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trends'!$D$22:$R$22</c:f>
            </c:numRef>
          </c:val>
          <c:smooth val="0"/>
          <c:extLst>
            <c:ext xmlns:c16="http://schemas.microsoft.com/office/drawing/2014/chart" uri="{C3380CC4-5D6E-409C-BE32-E72D297353CC}">
              <c16:uniqueId val="{0000000E-2373-4EEB-A496-342A1E007216}"/>
            </c:ext>
          </c:extLst>
        </c:ser>
        <c:ser>
          <c:idx val="15"/>
          <c:order val="15"/>
          <c:tx>
            <c:strRef>
              <c:f>'Citizen advice trends'!$C$23</c:f>
              <c:strCache>
                <c:ptCount val="1"/>
                <c:pt idx="0">
                  <c:v>Mortgage/secured loan possession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trends'!$D$23:$R$23</c:f>
            </c:numRef>
          </c:val>
          <c:smooth val="0"/>
          <c:extLst>
            <c:ext xmlns:c16="http://schemas.microsoft.com/office/drawing/2014/chart" uri="{C3380CC4-5D6E-409C-BE32-E72D297353CC}">
              <c16:uniqueId val="{0000000F-2373-4EEB-A496-342A1E007216}"/>
            </c:ext>
          </c:extLst>
        </c:ser>
        <c:ser>
          <c:idx val="16"/>
          <c:order val="16"/>
          <c:tx>
            <c:strRef>
              <c:f>'Citizen advice trends'!$C$24</c:f>
              <c:strCache>
                <c:ptCount val="1"/>
                <c:pt idx="0">
                  <c:v>LA possession action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trends'!$D$24:$R$24</c:f>
            </c:numRef>
          </c:val>
          <c:smooth val="0"/>
          <c:extLst>
            <c:ext xmlns:c16="http://schemas.microsoft.com/office/drawing/2014/chart" uri="{C3380CC4-5D6E-409C-BE32-E72D297353CC}">
              <c16:uniqueId val="{00000010-2373-4EEB-A496-342A1E007216}"/>
            </c:ext>
          </c:extLst>
        </c:ser>
        <c:ser>
          <c:idx val="17"/>
          <c:order val="17"/>
          <c:tx>
            <c:strRef>
              <c:f>'Citizen advice trends'!$C$25</c:f>
              <c:strCache>
                <c:ptCount val="1"/>
                <c:pt idx="0">
                  <c:v>Housing association possession action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trends'!$D$25:$R$25</c:f>
            </c:numRef>
          </c:val>
          <c:smooth val="0"/>
          <c:extLst>
            <c:ext xmlns:c16="http://schemas.microsoft.com/office/drawing/2014/chart" uri="{C3380CC4-5D6E-409C-BE32-E72D297353CC}">
              <c16:uniqueId val="{00000011-2373-4EEB-A496-342A1E007216}"/>
            </c:ext>
          </c:extLst>
        </c:ser>
        <c:ser>
          <c:idx val="18"/>
          <c:order val="18"/>
          <c:tx>
            <c:strRef>
              <c:f>'Citizen advice trends'!$C$26</c:f>
              <c:strCache>
                <c:ptCount val="1"/>
                <c:pt idx="0">
                  <c:v>Private landlord poessession action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trends'!$D$26:$R$26</c:f>
            </c:numRef>
          </c:val>
          <c:smooth val="0"/>
          <c:extLst>
            <c:ext xmlns:c16="http://schemas.microsoft.com/office/drawing/2014/chart" uri="{C3380CC4-5D6E-409C-BE32-E72D297353CC}">
              <c16:uniqueId val="{00000012-2373-4EEB-A496-342A1E007216}"/>
            </c:ext>
          </c:extLst>
        </c:ser>
        <c:ser>
          <c:idx val="19"/>
          <c:order val="19"/>
          <c:tx>
            <c:strRef>
              <c:f>'Citizen advice trends'!$C$27</c:f>
              <c:strCache>
                <c:ptCount val="1"/>
                <c:pt idx="0">
                  <c:v>Landlord's mortgage arrears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trends'!$D$27:$R$27</c:f>
            </c:numRef>
          </c:val>
          <c:smooth val="0"/>
          <c:extLst>
            <c:ext xmlns:c16="http://schemas.microsoft.com/office/drawing/2014/chart" uri="{C3380CC4-5D6E-409C-BE32-E72D297353CC}">
              <c16:uniqueId val="{00000013-2373-4EEB-A496-342A1E007216}"/>
            </c:ext>
          </c:extLst>
        </c:ser>
        <c:ser>
          <c:idx val="20"/>
          <c:order val="20"/>
          <c:tx>
            <c:strRef>
              <c:f>'Citizen advice trends'!$C$28</c:f>
              <c:strCache>
                <c:ptCount val="1"/>
                <c:pt idx="0">
                  <c:v>Delays in HB/ UC claims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trends'!$D$28:$R$28</c:f>
            </c:numRef>
          </c:val>
          <c:smooth val="0"/>
          <c:extLst>
            <c:ext xmlns:c16="http://schemas.microsoft.com/office/drawing/2014/chart" uri="{C3380CC4-5D6E-409C-BE32-E72D297353CC}">
              <c16:uniqueId val="{00000014-2373-4EEB-A496-342A1E007216}"/>
            </c:ext>
          </c:extLst>
        </c:ser>
        <c:ser>
          <c:idx val="21"/>
          <c:order val="21"/>
          <c:tx>
            <c:strRef>
              <c:f>'Citizen advice trends'!$C$29</c:f>
              <c:strCache>
                <c:ptCount val="1"/>
                <c:pt idx="0">
                  <c:v>Anti-social behaviour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trends'!$D$29:$R$29</c:f>
            </c:numRef>
          </c:val>
          <c:smooth val="0"/>
          <c:extLst>
            <c:ext xmlns:c16="http://schemas.microsoft.com/office/drawing/2014/chart" uri="{C3380CC4-5D6E-409C-BE32-E72D297353CC}">
              <c16:uniqueId val="{00000015-2373-4EEB-A496-342A1E007216}"/>
            </c:ext>
          </c:extLst>
        </c:ser>
        <c:ser>
          <c:idx val="22"/>
          <c:order val="22"/>
          <c:tx>
            <c:strRef>
              <c:f>'Citizen advice trends'!$C$30</c:f>
              <c:strCache>
                <c:ptCount val="1"/>
                <c:pt idx="0">
                  <c:v>Not recorded/not applicable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trends'!$D$30:$R$30</c:f>
            </c:numRef>
          </c:val>
          <c:smooth val="0"/>
          <c:extLst>
            <c:ext xmlns:c16="http://schemas.microsoft.com/office/drawing/2014/chart" uri="{C3380CC4-5D6E-409C-BE32-E72D297353CC}">
              <c16:uniqueId val="{00000016-2373-4EEB-A496-342A1E007216}"/>
            </c:ext>
          </c:extLst>
        </c:ser>
        <c:ser>
          <c:idx val="23"/>
          <c:order val="23"/>
          <c:tx>
            <c:strRef>
              <c:f>'Citizen advice trends'!$C$31</c:f>
              <c:strCache>
                <c:ptCount val="1"/>
                <c:pt idx="0">
                  <c:v>Rough sleeping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trends'!$D$31:$R$31</c:f>
            </c:numRef>
          </c:val>
          <c:smooth val="0"/>
          <c:extLst>
            <c:ext xmlns:c16="http://schemas.microsoft.com/office/drawing/2014/chart" uri="{C3380CC4-5D6E-409C-BE32-E72D297353CC}">
              <c16:uniqueId val="{00000017-2373-4EEB-A496-342A1E007216}"/>
            </c:ext>
          </c:extLst>
        </c:ser>
        <c:ser>
          <c:idx val="24"/>
          <c:order val="24"/>
          <c:tx>
            <c:strRef>
              <c:f>'Citizen advice trends'!$C$32</c:f>
              <c:strCache>
                <c:ptCount val="1"/>
                <c:pt idx="0">
                  <c:v>Rough sleeping and threat to immigration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trends'!$D$32:$R$32</c:f>
            </c:numRef>
          </c:val>
          <c:smooth val="0"/>
          <c:extLst>
            <c:ext xmlns:c16="http://schemas.microsoft.com/office/drawing/2014/chart" uri="{C3380CC4-5D6E-409C-BE32-E72D297353CC}">
              <c16:uniqueId val="{00000018-2373-4EEB-A496-342A1E007216}"/>
            </c:ext>
          </c:extLst>
        </c:ser>
        <c:ser>
          <c:idx val="25"/>
          <c:order val="25"/>
          <c:tx>
            <c:strRef>
              <c:f>'Citizen advice trends'!$C$33</c:f>
              <c:strCache>
                <c:ptCount val="1"/>
                <c:pt idx="0">
                  <c:v>Benefit cuts including cap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trends'!$D$33:$R$33</c:f>
            </c:numRef>
          </c:val>
          <c:smooth val="0"/>
          <c:extLst>
            <c:ext xmlns:c16="http://schemas.microsoft.com/office/drawing/2014/chart" uri="{C3380CC4-5D6E-409C-BE32-E72D297353CC}">
              <c16:uniqueId val="{00000019-2373-4EEB-A496-342A1E007216}"/>
            </c:ext>
          </c:extLst>
        </c:ser>
        <c:ser>
          <c:idx val="26"/>
          <c:order val="26"/>
          <c:tx>
            <c:strRef>
              <c:f>'Citizen advice trends'!$C$34</c:f>
              <c:strCache>
                <c:ptCount val="1"/>
                <c:pt idx="0">
                  <c:v>In unsuitable accommodation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trends'!$D$34:$R$34</c:f>
            </c:numRef>
          </c:val>
          <c:smooth val="0"/>
          <c:extLst>
            <c:ext xmlns:c16="http://schemas.microsoft.com/office/drawing/2014/chart" uri="{C3380CC4-5D6E-409C-BE32-E72D297353CC}">
              <c16:uniqueId val="{0000001A-2373-4EEB-A496-342A1E007216}"/>
            </c:ext>
          </c:extLst>
        </c:ser>
        <c:ser>
          <c:idx val="27"/>
          <c:order val="27"/>
          <c:tx>
            <c:strRef>
              <c:f>'Citizen advice trends'!$C$35</c:f>
              <c:strCache>
                <c:ptCount val="1"/>
                <c:pt idx="0">
                  <c:v>In hostel/refuge/night shelter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trends'!$D$35:$R$35</c:f>
            </c:numRef>
          </c:val>
          <c:smooth val="0"/>
          <c:extLst>
            <c:ext xmlns:c16="http://schemas.microsoft.com/office/drawing/2014/chart" uri="{C3380CC4-5D6E-409C-BE32-E72D297353CC}">
              <c16:uniqueId val="{0000001B-2373-4EEB-A496-342A1E007216}"/>
            </c:ext>
          </c:extLst>
        </c:ser>
        <c:ser>
          <c:idx val="28"/>
          <c:order val="28"/>
          <c:tx>
            <c:strRef>
              <c:f>'Citizen advice trends'!$C$36</c:f>
              <c:strCache>
                <c:ptCount val="1"/>
                <c:pt idx="0">
                  <c:v>Section 21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trends'!$D$36:$R$36</c:f>
            </c:numRef>
          </c:val>
          <c:smooth val="0"/>
          <c:extLst>
            <c:ext xmlns:c16="http://schemas.microsoft.com/office/drawing/2014/chart" uri="{C3380CC4-5D6E-409C-BE32-E72D297353CC}">
              <c16:uniqueId val="{0000001C-2373-4EEB-A496-342A1E007216}"/>
            </c:ext>
          </c:extLst>
        </c:ser>
        <c:ser>
          <c:idx val="29"/>
          <c:order val="29"/>
          <c:tx>
            <c:strRef>
              <c:f>'Citizen advice trends'!$C$37</c:f>
              <c:strCache>
                <c:ptCount val="1"/>
                <c:pt idx="0">
                  <c:v>Section 8 notice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trends'!$D$37:$R$37</c:f>
            </c:numRef>
          </c:val>
          <c:smooth val="0"/>
          <c:extLst>
            <c:ext xmlns:c16="http://schemas.microsoft.com/office/drawing/2014/chart" uri="{C3380CC4-5D6E-409C-BE32-E72D297353CC}">
              <c16:uniqueId val="{0000001D-2373-4EEB-A496-342A1E007216}"/>
            </c:ext>
          </c:extLst>
        </c:ser>
        <c:ser>
          <c:idx val="30"/>
          <c:order val="30"/>
          <c:tx>
            <c:strRef>
              <c:f>'Citizen advice trends'!$C$38</c:f>
              <c:strCache>
                <c:ptCount val="1"/>
                <c:pt idx="0">
                  <c:v>Notice to Quit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trends'!$D$38:$R$38</c:f>
            </c:numRef>
          </c:val>
          <c:smooth val="0"/>
          <c:extLst>
            <c:ext xmlns:c16="http://schemas.microsoft.com/office/drawing/2014/chart" uri="{C3380CC4-5D6E-409C-BE32-E72D297353CC}">
              <c16:uniqueId val="{0000001E-2373-4EEB-A496-342A1E007216}"/>
            </c:ext>
          </c:extLst>
        </c:ser>
        <c:ser>
          <c:idx val="31"/>
          <c:order val="31"/>
          <c:tx>
            <c:strRef>
              <c:f>'Citizen advice trends'!$C$39</c:f>
              <c:strCache>
                <c:ptCount val="1"/>
                <c:pt idx="0">
                  <c:v>Temporary accomodation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trends'!$D$39:$R$39</c:f>
            </c:numRef>
          </c:val>
          <c:smooth val="0"/>
          <c:extLst>
            <c:ext xmlns:c16="http://schemas.microsoft.com/office/drawing/2014/chart" uri="{C3380CC4-5D6E-409C-BE32-E72D297353CC}">
              <c16:uniqueId val="{0000001F-2373-4EEB-A496-342A1E007216}"/>
            </c:ext>
          </c:extLst>
        </c:ser>
        <c:ser>
          <c:idx val="32"/>
          <c:order val="32"/>
          <c:tx>
            <c:strRef>
              <c:f>'Citizen advice trends'!$C$40</c:f>
              <c:strCache>
                <c:ptCount val="1"/>
                <c:pt idx="0">
                  <c:v>Affordability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trends'!$D$40:$R$40</c:f>
            </c:numRef>
          </c:val>
          <c:smooth val="0"/>
          <c:extLst>
            <c:ext xmlns:c16="http://schemas.microsoft.com/office/drawing/2014/chart" uri="{C3380CC4-5D6E-409C-BE32-E72D297353CC}">
              <c16:uniqueId val="{00000020-2373-4EEB-A496-342A1E007216}"/>
            </c:ext>
          </c:extLst>
        </c:ser>
        <c:ser>
          <c:idx val="33"/>
          <c:order val="33"/>
          <c:tx>
            <c:strRef>
              <c:f>'Citizen advice trends'!$C$41</c:f>
              <c:strCache>
                <c:ptCount val="1"/>
                <c:pt idx="0">
                  <c:v>Sofa surfing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trends'!$D$41:$R$41</c:f>
            </c:numRef>
          </c:val>
          <c:smooth val="0"/>
          <c:extLst>
            <c:ext xmlns:c16="http://schemas.microsoft.com/office/drawing/2014/chart" uri="{C3380CC4-5D6E-409C-BE32-E72D297353CC}">
              <c16:uniqueId val="{00000021-2373-4EEB-A496-342A1E007216}"/>
            </c:ext>
          </c:extLst>
        </c:ser>
        <c:ser>
          <c:idx val="34"/>
          <c:order val="34"/>
          <c:tx>
            <c:strRef>
              <c:f>'Citizen advice trends'!$C$42</c:f>
              <c:strCache>
                <c:ptCount val="1"/>
                <c:pt idx="0">
                  <c:v>Wales Serious Rent Arreas Notice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trends'!$D$42:$R$42</c:f>
            </c:numRef>
          </c:val>
          <c:smooth val="0"/>
          <c:extLst>
            <c:ext xmlns:c16="http://schemas.microsoft.com/office/drawing/2014/chart" uri="{C3380CC4-5D6E-409C-BE32-E72D297353CC}">
              <c16:uniqueId val="{00000022-2373-4EEB-A496-342A1E007216}"/>
            </c:ext>
          </c:extLst>
        </c:ser>
        <c:ser>
          <c:idx val="35"/>
          <c:order val="35"/>
          <c:tx>
            <c:strRef>
              <c:f>'Citizen advice trends'!$C$43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trends'!$D$43:$R$43</c:f>
            </c:numRef>
          </c:val>
          <c:smooth val="0"/>
          <c:extLst>
            <c:ext xmlns:c16="http://schemas.microsoft.com/office/drawing/2014/chart" uri="{C3380CC4-5D6E-409C-BE32-E72D297353CC}">
              <c16:uniqueId val="{00000023-2373-4EEB-A496-342A1E007216}"/>
            </c:ext>
          </c:extLst>
        </c:ser>
        <c:ser>
          <c:idx val="36"/>
          <c:order val="36"/>
          <c:tx>
            <c:strRef>
              <c:f>'Citizen advice trends'!$C$44</c:f>
              <c:strCache>
                <c:ptCount val="1"/>
                <c:pt idx="0">
                  <c:v>Relatives/friends unable/unwilling to host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trends'!$D$44:$R$44</c:f>
            </c:numRef>
          </c:val>
          <c:smooth val="0"/>
          <c:extLst>
            <c:ext xmlns:c16="http://schemas.microsoft.com/office/drawing/2014/chart" uri="{C3380CC4-5D6E-409C-BE32-E72D297353CC}">
              <c16:uniqueId val="{00000024-2373-4EEB-A496-342A1E007216}"/>
            </c:ext>
          </c:extLst>
        </c:ser>
        <c:ser>
          <c:idx val="37"/>
          <c:order val="37"/>
          <c:tx>
            <c:strRef>
              <c:f>'Citizen advice trends'!$C$45</c:f>
              <c:strCache>
                <c:ptCount val="1"/>
                <c:pt idx="0">
                  <c:v>Relationship breakdown (excluding divorce)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trends'!$D$45:$R$45</c:f>
            </c:numRef>
          </c:val>
          <c:smooth val="0"/>
          <c:extLst>
            <c:ext xmlns:c16="http://schemas.microsoft.com/office/drawing/2014/chart" uri="{C3380CC4-5D6E-409C-BE32-E72D297353CC}">
              <c16:uniqueId val="{00000025-2373-4EEB-A496-342A1E007216}"/>
            </c:ext>
          </c:extLst>
        </c:ser>
        <c:ser>
          <c:idx val="38"/>
          <c:order val="38"/>
          <c:tx>
            <c:strRef>
              <c:f>'Citizen advice trends'!$C$46</c:f>
              <c:strCache>
                <c:ptCount val="1"/>
                <c:pt idx="0">
                  <c:v>Domestic abuse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trends'!$D$46:$R$46</c:f>
            </c:numRef>
          </c:val>
          <c:smooth val="0"/>
          <c:extLst>
            <c:ext xmlns:c16="http://schemas.microsoft.com/office/drawing/2014/chart" uri="{C3380CC4-5D6E-409C-BE32-E72D297353CC}">
              <c16:uniqueId val="{00000026-2373-4EEB-A496-342A1E007216}"/>
            </c:ext>
          </c:extLst>
        </c:ser>
        <c:ser>
          <c:idx val="39"/>
          <c:order val="39"/>
          <c:tx>
            <c:strRef>
              <c:f>'Citizen advice trends'!$C$47</c:f>
              <c:strCache>
                <c:ptCount val="1"/>
                <c:pt idx="0">
                  <c:v>Harassment/illegal eviction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trends'!$D$47:$R$47</c:f>
            </c:numRef>
          </c:val>
          <c:smooth val="0"/>
          <c:extLst>
            <c:ext xmlns:c16="http://schemas.microsoft.com/office/drawing/2014/chart" uri="{C3380CC4-5D6E-409C-BE32-E72D297353CC}">
              <c16:uniqueId val="{00000027-2373-4EEB-A496-342A1E007216}"/>
            </c:ext>
          </c:extLst>
        </c:ser>
        <c:ser>
          <c:idx val="40"/>
          <c:order val="40"/>
          <c:tx>
            <c:strRef>
              <c:f>'Citizen advice trends'!$C$48</c:f>
              <c:strCache>
                <c:ptCount val="1"/>
                <c:pt idx="0">
                  <c:v>Mortgage/secured loan possession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trends'!$D$48:$R$48</c:f>
            </c:numRef>
          </c:val>
          <c:smooth val="0"/>
          <c:extLst>
            <c:ext xmlns:c16="http://schemas.microsoft.com/office/drawing/2014/chart" uri="{C3380CC4-5D6E-409C-BE32-E72D297353CC}">
              <c16:uniqueId val="{00000028-2373-4EEB-A496-342A1E007216}"/>
            </c:ext>
          </c:extLst>
        </c:ser>
        <c:ser>
          <c:idx val="41"/>
          <c:order val="41"/>
          <c:tx>
            <c:strRef>
              <c:f>'Citizen advice trends'!$C$49</c:f>
              <c:strCache>
                <c:ptCount val="1"/>
                <c:pt idx="0">
                  <c:v>LA possession action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trends'!$D$49:$R$49</c:f>
            </c:numRef>
          </c:val>
          <c:smooth val="0"/>
          <c:extLst>
            <c:ext xmlns:c16="http://schemas.microsoft.com/office/drawing/2014/chart" uri="{C3380CC4-5D6E-409C-BE32-E72D297353CC}">
              <c16:uniqueId val="{00000029-2373-4EEB-A496-342A1E007216}"/>
            </c:ext>
          </c:extLst>
        </c:ser>
        <c:ser>
          <c:idx val="42"/>
          <c:order val="42"/>
          <c:tx>
            <c:strRef>
              <c:f>'Citizen advice trends'!$C$50</c:f>
              <c:strCache>
                <c:ptCount val="1"/>
                <c:pt idx="0">
                  <c:v>Housing association possession action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trends'!$D$50:$R$50</c:f>
            </c:numRef>
          </c:val>
          <c:smooth val="0"/>
          <c:extLst>
            <c:ext xmlns:c16="http://schemas.microsoft.com/office/drawing/2014/chart" uri="{C3380CC4-5D6E-409C-BE32-E72D297353CC}">
              <c16:uniqueId val="{0000002A-2373-4EEB-A496-342A1E007216}"/>
            </c:ext>
          </c:extLst>
        </c:ser>
        <c:ser>
          <c:idx val="43"/>
          <c:order val="43"/>
          <c:tx>
            <c:strRef>
              <c:f>'Citizen advice trends'!$C$51</c:f>
              <c:strCache>
                <c:ptCount val="1"/>
                <c:pt idx="0">
                  <c:v>Private landlord poessession action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trends'!$D$51:$R$51</c:f>
            </c:numRef>
          </c:val>
          <c:smooth val="0"/>
          <c:extLst>
            <c:ext xmlns:c16="http://schemas.microsoft.com/office/drawing/2014/chart" uri="{C3380CC4-5D6E-409C-BE32-E72D297353CC}">
              <c16:uniqueId val="{0000002B-2373-4EEB-A496-342A1E007216}"/>
            </c:ext>
          </c:extLst>
        </c:ser>
        <c:ser>
          <c:idx val="44"/>
          <c:order val="44"/>
          <c:tx>
            <c:strRef>
              <c:f>'Citizen advice trends'!$C$52</c:f>
              <c:strCache>
                <c:ptCount val="1"/>
                <c:pt idx="0">
                  <c:v>Landlord's mortgage arrears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trends'!$D$52:$R$52</c:f>
            </c:numRef>
          </c:val>
          <c:smooth val="0"/>
          <c:extLst>
            <c:ext xmlns:c16="http://schemas.microsoft.com/office/drawing/2014/chart" uri="{C3380CC4-5D6E-409C-BE32-E72D297353CC}">
              <c16:uniqueId val="{0000002C-2373-4EEB-A496-342A1E007216}"/>
            </c:ext>
          </c:extLst>
        </c:ser>
        <c:ser>
          <c:idx val="45"/>
          <c:order val="45"/>
          <c:tx>
            <c:strRef>
              <c:f>'Citizen advice trends'!$C$53</c:f>
              <c:strCache>
                <c:ptCount val="1"/>
                <c:pt idx="0">
                  <c:v>Delays in HB/ UC claims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trends'!$D$53:$R$53</c:f>
            </c:numRef>
          </c:val>
          <c:smooth val="0"/>
          <c:extLst>
            <c:ext xmlns:c16="http://schemas.microsoft.com/office/drawing/2014/chart" uri="{C3380CC4-5D6E-409C-BE32-E72D297353CC}">
              <c16:uniqueId val="{0000002D-2373-4EEB-A496-342A1E007216}"/>
            </c:ext>
          </c:extLst>
        </c:ser>
        <c:ser>
          <c:idx val="46"/>
          <c:order val="46"/>
          <c:tx>
            <c:strRef>
              <c:f>'Citizen advice trends'!$C$54</c:f>
              <c:strCache>
                <c:ptCount val="1"/>
                <c:pt idx="0">
                  <c:v>Anti-social behaviour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trends'!$D$54:$R$54</c:f>
            </c:numRef>
          </c:val>
          <c:smooth val="0"/>
          <c:extLst>
            <c:ext xmlns:c16="http://schemas.microsoft.com/office/drawing/2014/chart" uri="{C3380CC4-5D6E-409C-BE32-E72D297353CC}">
              <c16:uniqueId val="{0000002E-2373-4EEB-A496-342A1E007216}"/>
            </c:ext>
          </c:extLst>
        </c:ser>
        <c:ser>
          <c:idx val="47"/>
          <c:order val="47"/>
          <c:tx>
            <c:strRef>
              <c:f>'Citizen advice trends'!$C$55</c:f>
              <c:strCache>
                <c:ptCount val="1"/>
                <c:pt idx="0">
                  <c:v>Not recorded/not applicable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trends'!$D$55:$R$55</c:f>
            </c:numRef>
          </c:val>
          <c:smooth val="0"/>
          <c:extLst>
            <c:ext xmlns:c16="http://schemas.microsoft.com/office/drawing/2014/chart" uri="{C3380CC4-5D6E-409C-BE32-E72D297353CC}">
              <c16:uniqueId val="{0000002F-2373-4EEB-A496-342A1E007216}"/>
            </c:ext>
          </c:extLst>
        </c:ser>
        <c:ser>
          <c:idx val="48"/>
          <c:order val="48"/>
          <c:tx>
            <c:strRef>
              <c:f>'Citizen advice trends'!$C$56</c:f>
              <c:strCache>
                <c:ptCount val="1"/>
                <c:pt idx="0">
                  <c:v>Benefit cuts including cap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trends'!$D$56:$R$56</c:f>
            </c:numRef>
          </c:val>
          <c:smooth val="0"/>
          <c:extLst>
            <c:ext xmlns:c16="http://schemas.microsoft.com/office/drawing/2014/chart" uri="{C3380CC4-5D6E-409C-BE32-E72D297353CC}">
              <c16:uniqueId val="{00000030-2373-4EEB-A496-342A1E007216}"/>
            </c:ext>
          </c:extLst>
        </c:ser>
        <c:ser>
          <c:idx val="49"/>
          <c:order val="49"/>
          <c:tx>
            <c:strRef>
              <c:f>'Citizen advice trends'!$C$57</c:f>
              <c:strCache>
                <c:ptCount val="1"/>
                <c:pt idx="0">
                  <c:v>No recourse to public funds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trends'!$D$57:$R$57</c:f>
            </c:numRef>
          </c:val>
          <c:smooth val="0"/>
          <c:extLst>
            <c:ext xmlns:c16="http://schemas.microsoft.com/office/drawing/2014/chart" uri="{C3380CC4-5D6E-409C-BE32-E72D297353CC}">
              <c16:uniqueId val="{00000031-2373-4EEB-A496-342A1E007216}"/>
            </c:ext>
          </c:extLst>
        </c:ser>
        <c:ser>
          <c:idx val="50"/>
          <c:order val="50"/>
          <c:tx>
            <c:strRef>
              <c:f>'Citizen advice trends'!$C$58</c:f>
              <c:strCache>
                <c:ptCount val="1"/>
                <c:pt idx="0">
                  <c:v>Section 21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trends'!$D$58:$R$58</c:f>
            </c:numRef>
          </c:val>
          <c:smooth val="0"/>
          <c:extLst>
            <c:ext xmlns:c16="http://schemas.microsoft.com/office/drawing/2014/chart" uri="{C3380CC4-5D6E-409C-BE32-E72D297353CC}">
              <c16:uniqueId val="{00000032-2373-4EEB-A496-342A1E007216}"/>
            </c:ext>
          </c:extLst>
        </c:ser>
        <c:ser>
          <c:idx val="51"/>
          <c:order val="51"/>
          <c:tx>
            <c:strRef>
              <c:f>'Citizen advice trends'!$C$59</c:f>
              <c:strCache>
                <c:ptCount val="1"/>
                <c:pt idx="0">
                  <c:v>Section 8 notice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trends'!$D$59:$R$59</c:f>
            </c:numRef>
          </c:val>
          <c:smooth val="0"/>
          <c:extLst>
            <c:ext xmlns:c16="http://schemas.microsoft.com/office/drawing/2014/chart" uri="{C3380CC4-5D6E-409C-BE32-E72D297353CC}">
              <c16:uniqueId val="{00000033-2373-4EEB-A496-342A1E007216}"/>
            </c:ext>
          </c:extLst>
        </c:ser>
        <c:ser>
          <c:idx val="52"/>
          <c:order val="52"/>
          <c:tx>
            <c:strRef>
              <c:f>'Citizen advice trends'!$C$60</c:f>
              <c:strCache>
                <c:ptCount val="1"/>
                <c:pt idx="0">
                  <c:v>Notice to Quit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trends'!$D$60:$R$60</c:f>
            </c:numRef>
          </c:val>
          <c:smooth val="0"/>
          <c:extLst>
            <c:ext xmlns:c16="http://schemas.microsoft.com/office/drawing/2014/chart" uri="{C3380CC4-5D6E-409C-BE32-E72D297353CC}">
              <c16:uniqueId val="{00000034-2373-4EEB-A496-342A1E007216}"/>
            </c:ext>
          </c:extLst>
        </c:ser>
        <c:ser>
          <c:idx val="53"/>
          <c:order val="53"/>
          <c:tx>
            <c:strRef>
              <c:f>'Citizen advice trends'!$C$61</c:f>
              <c:strCache>
                <c:ptCount val="1"/>
                <c:pt idx="0">
                  <c:v>Affordability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trends'!$D$61:$R$61</c:f>
            </c:numRef>
          </c:val>
          <c:smooth val="0"/>
          <c:extLst>
            <c:ext xmlns:c16="http://schemas.microsoft.com/office/drawing/2014/chart" uri="{C3380CC4-5D6E-409C-BE32-E72D297353CC}">
              <c16:uniqueId val="{00000035-2373-4EEB-A496-342A1E007216}"/>
            </c:ext>
          </c:extLst>
        </c:ser>
        <c:ser>
          <c:idx val="54"/>
          <c:order val="54"/>
          <c:tx>
            <c:strRef>
              <c:f>'Citizen advice trends'!$C$62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trends'!$D$62:$R$62</c:f>
            </c:numRef>
          </c:val>
          <c:smooth val="0"/>
          <c:extLst>
            <c:ext xmlns:c16="http://schemas.microsoft.com/office/drawing/2014/chart" uri="{C3380CC4-5D6E-409C-BE32-E72D297353CC}">
              <c16:uniqueId val="{00000036-2373-4EEB-A496-342A1E007216}"/>
            </c:ext>
          </c:extLst>
        </c:ser>
        <c:ser>
          <c:idx val="55"/>
          <c:order val="55"/>
          <c:tx>
            <c:strRef>
              <c:f>'Citizen advice trends'!$C$63</c:f>
              <c:strCache>
                <c:ptCount val="1"/>
                <c:pt idx="0">
                  <c:v>Processes procedures and assessments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trends'!$D$63:$R$63</c:f>
            </c:numRef>
          </c:val>
          <c:smooth val="0"/>
          <c:extLst>
            <c:ext xmlns:c16="http://schemas.microsoft.com/office/drawing/2014/chart" uri="{C3380CC4-5D6E-409C-BE32-E72D297353CC}">
              <c16:uniqueId val="{00000037-2373-4EEB-A496-342A1E007216}"/>
            </c:ext>
          </c:extLst>
        </c:ser>
        <c:ser>
          <c:idx val="56"/>
          <c:order val="56"/>
          <c:tx>
            <c:strRef>
              <c:f>'Citizen advice trends'!$C$64</c:f>
              <c:strCache>
                <c:ptCount val="1"/>
                <c:pt idx="0">
                  <c:v>Accommodation provided out of borough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trends'!$D$64:$R$64</c:f>
            </c:numRef>
          </c:val>
          <c:smooth val="0"/>
          <c:extLst>
            <c:ext xmlns:c16="http://schemas.microsoft.com/office/drawing/2014/chart" uri="{C3380CC4-5D6E-409C-BE32-E72D297353CC}">
              <c16:uniqueId val="{00000038-2373-4EEB-A496-342A1E007216}"/>
            </c:ext>
          </c:extLst>
        </c:ser>
        <c:ser>
          <c:idx val="57"/>
          <c:order val="57"/>
          <c:tx>
            <c:strRef>
              <c:f>'Citizen advice trends'!$C$65</c:f>
              <c:strCache>
                <c:ptCount val="1"/>
                <c:pt idx="0">
                  <c:v>Court representation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trends'!$D$65:$R$65</c:f>
            </c:numRef>
          </c:val>
          <c:smooth val="0"/>
          <c:extLst>
            <c:ext xmlns:c16="http://schemas.microsoft.com/office/drawing/2014/chart" uri="{C3380CC4-5D6E-409C-BE32-E72D297353CC}">
              <c16:uniqueId val="{00000039-2373-4EEB-A496-342A1E007216}"/>
            </c:ext>
          </c:extLst>
        </c:ser>
        <c:ser>
          <c:idx val="58"/>
          <c:order val="58"/>
          <c:tx>
            <c:strRef>
              <c:f>'Citizen advice trends'!$C$66</c:f>
              <c:strCache>
                <c:ptCount val="1"/>
                <c:pt idx="0">
                  <c:v>Duty to protect belongings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trends'!$D$66:$R$66</c:f>
            </c:numRef>
          </c:val>
          <c:smooth val="0"/>
          <c:extLst>
            <c:ext xmlns:c16="http://schemas.microsoft.com/office/drawing/2014/chart" uri="{C3380CC4-5D6E-409C-BE32-E72D297353CC}">
              <c16:uniqueId val="{0000003A-2373-4EEB-A496-342A1E007216}"/>
            </c:ext>
          </c:extLst>
        </c:ser>
        <c:ser>
          <c:idx val="59"/>
          <c:order val="59"/>
          <c:tx>
            <c:strRef>
              <c:f>'Citizen advice trends'!$C$67</c:f>
              <c:strCache>
                <c:ptCount val="1"/>
                <c:pt idx="0">
                  <c:v>Reviews appeals and complaints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trends'!$D$67:$R$67</c:f>
            </c:numRef>
          </c:val>
          <c:smooth val="0"/>
          <c:extLst>
            <c:ext xmlns:c16="http://schemas.microsoft.com/office/drawing/2014/chart" uri="{C3380CC4-5D6E-409C-BE32-E72D297353CC}">
              <c16:uniqueId val="{0000003B-2373-4EEB-A496-342A1E007216}"/>
            </c:ext>
          </c:extLst>
        </c:ser>
        <c:ser>
          <c:idx val="60"/>
          <c:order val="60"/>
          <c:tx>
            <c:strRef>
              <c:f>'Citizen advice trends'!$C$68</c:f>
              <c:strCache>
                <c:ptCount val="1"/>
                <c:pt idx="0">
                  <c:v>Housing options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trends'!$D$68:$R$68</c:f>
            </c:numRef>
          </c:val>
          <c:smooth val="0"/>
          <c:extLst>
            <c:ext xmlns:c16="http://schemas.microsoft.com/office/drawing/2014/chart" uri="{C3380CC4-5D6E-409C-BE32-E72D297353CC}">
              <c16:uniqueId val="{0000003C-2373-4EEB-A496-342A1E007216}"/>
            </c:ext>
          </c:extLst>
        </c:ser>
        <c:ser>
          <c:idx val="61"/>
          <c:order val="61"/>
          <c:tx>
            <c:strRef>
              <c:f>'Citizen advice trends'!$C$69</c:f>
              <c:strCache>
                <c:ptCount val="1"/>
                <c:pt idx="0">
                  <c:v>Complaints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trends'!$D$69:$R$69</c:f>
            </c:numRef>
          </c:val>
          <c:smooth val="0"/>
          <c:extLst>
            <c:ext xmlns:c16="http://schemas.microsoft.com/office/drawing/2014/chart" uri="{C3380CC4-5D6E-409C-BE32-E72D297353CC}">
              <c16:uniqueId val="{0000003D-2373-4EEB-A496-342A1E007216}"/>
            </c:ext>
          </c:extLst>
        </c:ser>
        <c:ser>
          <c:idx val="62"/>
          <c:order val="62"/>
          <c:tx>
            <c:strRef>
              <c:f>'Citizen advice trends'!$C$70</c:f>
              <c:strCache>
                <c:ptCount val="1"/>
                <c:pt idx="0">
                  <c:v>Homelessness Prevention Duty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trends'!$D$70:$R$70</c:f>
            </c:numRef>
          </c:val>
          <c:smooth val="0"/>
          <c:extLst>
            <c:ext xmlns:c16="http://schemas.microsoft.com/office/drawing/2014/chart" uri="{C3380CC4-5D6E-409C-BE32-E72D297353CC}">
              <c16:uniqueId val="{0000003E-2373-4EEB-A496-342A1E007216}"/>
            </c:ext>
          </c:extLst>
        </c:ser>
        <c:ser>
          <c:idx val="63"/>
          <c:order val="63"/>
          <c:tx>
            <c:strRef>
              <c:f>'Citizen advice trends'!$C$71</c:f>
              <c:strCache>
                <c:ptCount val="1"/>
                <c:pt idx="0">
                  <c:v>Homelessness Relief Duty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trends'!$D$71:$R$71</c:f>
            </c:numRef>
          </c:val>
          <c:smooth val="0"/>
          <c:extLst>
            <c:ext xmlns:c16="http://schemas.microsoft.com/office/drawing/2014/chart" uri="{C3380CC4-5D6E-409C-BE32-E72D297353CC}">
              <c16:uniqueId val="{0000003F-2373-4EEB-A496-342A1E007216}"/>
            </c:ext>
          </c:extLst>
        </c:ser>
        <c:ser>
          <c:idx val="64"/>
          <c:order val="64"/>
          <c:tx>
            <c:strRef>
              <c:f>'Citizen advice trends'!$C$72</c:f>
              <c:strCache>
                <c:ptCount val="1"/>
                <c:pt idx="0">
                  <c:v>Gatekeeping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trends'!$D$72:$R$72</c:f>
            </c:numRef>
          </c:val>
          <c:smooth val="0"/>
          <c:extLst>
            <c:ext xmlns:c16="http://schemas.microsoft.com/office/drawing/2014/chart" uri="{C3380CC4-5D6E-409C-BE32-E72D297353CC}">
              <c16:uniqueId val="{00000040-2373-4EEB-A496-342A1E007216}"/>
            </c:ext>
          </c:extLst>
        </c:ser>
        <c:ser>
          <c:idx val="65"/>
          <c:order val="65"/>
          <c:tx>
            <c:strRef>
              <c:f>'Citizen advice trends'!$C$73</c:f>
              <c:strCache>
                <c:ptCount val="1"/>
                <c:pt idx="0">
                  <c:v>Eligibility (immigration status)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trends'!$D$73:$R$73</c:f>
            </c:numRef>
          </c:val>
          <c:smooth val="0"/>
          <c:extLst>
            <c:ext xmlns:c16="http://schemas.microsoft.com/office/drawing/2014/chart" uri="{C3380CC4-5D6E-409C-BE32-E72D297353CC}">
              <c16:uniqueId val="{00000041-2373-4EEB-A496-342A1E007216}"/>
            </c:ext>
          </c:extLst>
        </c:ser>
        <c:ser>
          <c:idx val="66"/>
          <c:order val="66"/>
          <c:tx>
            <c:strRef>
              <c:f>'Citizen advice trends'!$C$74</c:f>
              <c:strCache>
                <c:ptCount val="1"/>
                <c:pt idx="0">
                  <c:v>Legal definition of homelessness/threat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trends'!$D$74:$R$74</c:f>
            </c:numRef>
          </c:val>
          <c:smooth val="0"/>
          <c:extLst>
            <c:ext xmlns:c16="http://schemas.microsoft.com/office/drawing/2014/chart" uri="{C3380CC4-5D6E-409C-BE32-E72D297353CC}">
              <c16:uniqueId val="{00000042-2373-4EEB-A496-342A1E007216}"/>
            </c:ext>
          </c:extLst>
        </c:ser>
        <c:ser>
          <c:idx val="67"/>
          <c:order val="67"/>
          <c:tx>
            <c:strRef>
              <c:f>'Citizen advice trends'!$C$75</c:f>
              <c:strCache>
                <c:ptCount val="1"/>
                <c:pt idx="0">
                  <c:v>Priority need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trends'!$D$75:$R$75</c:f>
            </c:numRef>
          </c:val>
          <c:smooth val="0"/>
          <c:extLst>
            <c:ext xmlns:c16="http://schemas.microsoft.com/office/drawing/2014/chart" uri="{C3380CC4-5D6E-409C-BE32-E72D297353CC}">
              <c16:uniqueId val="{00000043-2373-4EEB-A496-342A1E007216}"/>
            </c:ext>
          </c:extLst>
        </c:ser>
        <c:ser>
          <c:idx val="68"/>
          <c:order val="68"/>
          <c:tx>
            <c:strRef>
              <c:f>'Citizen advice trends'!$C$76</c:f>
              <c:strCache>
                <c:ptCount val="1"/>
                <c:pt idx="0">
                  <c:v>Intentionally homeless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trends'!$D$76:$R$76</c:f>
            </c:numRef>
          </c:val>
          <c:smooth val="0"/>
          <c:extLst>
            <c:ext xmlns:c16="http://schemas.microsoft.com/office/drawing/2014/chart" uri="{C3380CC4-5D6E-409C-BE32-E72D297353CC}">
              <c16:uniqueId val="{00000044-2373-4EEB-A496-342A1E007216}"/>
            </c:ext>
          </c:extLst>
        </c:ser>
        <c:ser>
          <c:idx val="69"/>
          <c:order val="69"/>
          <c:tx>
            <c:strRef>
              <c:f>'Citizen advice trends'!$C$77</c:f>
              <c:strCache>
                <c:ptCount val="1"/>
                <c:pt idx="0">
                  <c:v>Not recorded/not applicable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trends'!$D$77:$R$77</c:f>
            </c:numRef>
          </c:val>
          <c:smooth val="0"/>
          <c:extLst>
            <c:ext xmlns:c16="http://schemas.microsoft.com/office/drawing/2014/chart" uri="{C3380CC4-5D6E-409C-BE32-E72D297353CC}">
              <c16:uniqueId val="{00000045-2373-4EEB-A496-342A1E007216}"/>
            </c:ext>
          </c:extLst>
        </c:ser>
        <c:ser>
          <c:idx val="70"/>
          <c:order val="70"/>
          <c:tx>
            <c:strRef>
              <c:f>'Citizen advice trends'!$C$78</c:f>
              <c:strCache>
                <c:ptCount val="1"/>
                <c:pt idx="0">
                  <c:v>Local connection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trends'!$D$78:$R$78</c:f>
            </c:numRef>
          </c:val>
          <c:smooth val="0"/>
          <c:extLst>
            <c:ext xmlns:c16="http://schemas.microsoft.com/office/drawing/2014/chart" uri="{C3380CC4-5D6E-409C-BE32-E72D297353CC}">
              <c16:uniqueId val="{00000046-2373-4EEB-A496-342A1E007216}"/>
            </c:ext>
          </c:extLst>
        </c:ser>
        <c:ser>
          <c:idx val="71"/>
          <c:order val="71"/>
          <c:tx>
            <c:strRef>
              <c:f>'Citizen advice trends'!$C$79</c:f>
              <c:strCache>
                <c:ptCount val="1"/>
                <c:pt idx="0">
                  <c:v>Interim Accommodation provision/suitability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trends'!$D$79:$R$79</c:f>
            </c:numRef>
          </c:val>
          <c:smooth val="0"/>
          <c:extLst>
            <c:ext xmlns:c16="http://schemas.microsoft.com/office/drawing/2014/chart" uri="{C3380CC4-5D6E-409C-BE32-E72D297353CC}">
              <c16:uniqueId val="{00000047-2373-4EEB-A496-342A1E007216}"/>
            </c:ext>
          </c:extLst>
        </c:ser>
        <c:ser>
          <c:idx val="72"/>
          <c:order val="72"/>
          <c:tx>
            <c:strRef>
              <c:f>'Citizen advice trends'!$C$80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trends'!$D$80:$R$80</c:f>
            </c:numRef>
          </c:val>
          <c:smooth val="0"/>
          <c:extLst>
            <c:ext xmlns:c16="http://schemas.microsoft.com/office/drawing/2014/chart" uri="{C3380CC4-5D6E-409C-BE32-E72D297353CC}">
              <c16:uniqueId val="{00000048-2373-4EEB-A496-342A1E007216}"/>
            </c:ext>
          </c:extLst>
        </c:ser>
        <c:ser>
          <c:idx val="73"/>
          <c:order val="73"/>
          <c:tx>
            <c:strRef>
              <c:f>'Citizen advice trends'!$C$81</c:f>
              <c:strCache>
                <c:ptCount val="1"/>
                <c:pt idx="0">
                  <c:v>Emergency accommodation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trends'!$D$81:$R$81</c:f>
            </c:numRef>
          </c:val>
          <c:smooth val="0"/>
          <c:extLst>
            <c:ext xmlns:c16="http://schemas.microsoft.com/office/drawing/2014/chart" uri="{C3380CC4-5D6E-409C-BE32-E72D297353CC}">
              <c16:uniqueId val="{00000049-2373-4EEB-A496-342A1E007216}"/>
            </c:ext>
          </c:extLst>
        </c:ser>
        <c:ser>
          <c:idx val="74"/>
          <c:order val="74"/>
          <c:tx>
            <c:strRef>
              <c:f>'Citizen advice trends'!$C$82</c:f>
              <c:strCache>
                <c:ptCount val="1"/>
                <c:pt idx="0">
                  <c:v>Council/HA allocations/transfers/exchanges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trends'!$D$82:$R$82</c:f>
            </c:numRef>
          </c:val>
          <c:smooth val="0"/>
          <c:extLst>
            <c:ext xmlns:c16="http://schemas.microsoft.com/office/drawing/2014/chart" uri="{C3380CC4-5D6E-409C-BE32-E72D297353CC}">
              <c16:uniqueId val="{0000004A-2373-4EEB-A496-342A1E007216}"/>
            </c:ext>
          </c:extLst>
        </c:ser>
        <c:ser>
          <c:idx val="75"/>
          <c:order val="75"/>
          <c:tx>
            <c:strRef>
              <c:f>'Citizen advice trends'!$C$83</c:f>
              <c:strCache>
                <c:ptCount val="1"/>
                <c:pt idx="0">
                  <c:v>Bidding and banding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trends'!$D$83:$R$83</c:f>
            </c:numRef>
          </c:val>
          <c:smooth val="0"/>
          <c:extLst>
            <c:ext xmlns:c16="http://schemas.microsoft.com/office/drawing/2014/chart" uri="{C3380CC4-5D6E-409C-BE32-E72D297353CC}">
              <c16:uniqueId val="{0000004B-2373-4EEB-A496-342A1E007216}"/>
            </c:ext>
          </c:extLst>
        </c:ser>
        <c:ser>
          <c:idx val="76"/>
          <c:order val="76"/>
          <c:tx>
            <c:strRef>
              <c:f>'Citizen advice trends'!$C$84</c:f>
              <c:strCache>
                <c:ptCount val="1"/>
                <c:pt idx="0">
                  <c:v>Finding and securing private rented sector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trends'!$D$84:$R$84</c:f>
            </c:numRef>
          </c:val>
          <c:smooth val="0"/>
          <c:extLst>
            <c:ext xmlns:c16="http://schemas.microsoft.com/office/drawing/2014/chart" uri="{C3380CC4-5D6E-409C-BE32-E72D297353CC}">
              <c16:uniqueId val="{0000004C-2373-4EEB-A496-342A1E007216}"/>
            </c:ext>
          </c:extLst>
        </c:ser>
        <c:ser>
          <c:idx val="77"/>
          <c:order val="77"/>
          <c:tx>
            <c:strRef>
              <c:f>'Citizen advice trends'!$C$85</c:f>
              <c:strCache>
                <c:ptCount val="1"/>
                <c:pt idx="0">
                  <c:v>Assistance with funding or guarantees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trends'!$D$85:$R$85</c:f>
            </c:numRef>
          </c:val>
          <c:smooth val="0"/>
          <c:extLst>
            <c:ext xmlns:c16="http://schemas.microsoft.com/office/drawing/2014/chart" uri="{C3380CC4-5D6E-409C-BE32-E72D297353CC}">
              <c16:uniqueId val="{0000004D-2373-4EEB-A496-342A1E007216}"/>
            </c:ext>
          </c:extLst>
        </c:ser>
        <c:ser>
          <c:idx val="78"/>
          <c:order val="78"/>
          <c:tx>
            <c:strRef>
              <c:f>'Citizen advice trends'!$C$86</c:f>
              <c:strCache>
                <c:ptCount val="1"/>
                <c:pt idx="0">
                  <c:v>Refusal due to housing benefit / UC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trends'!$D$86:$R$86</c:f>
            </c:numRef>
          </c:val>
          <c:smooth val="0"/>
          <c:extLst>
            <c:ext xmlns:c16="http://schemas.microsoft.com/office/drawing/2014/chart" uri="{C3380CC4-5D6E-409C-BE32-E72D297353CC}">
              <c16:uniqueId val="{0000004E-2373-4EEB-A496-342A1E007216}"/>
            </c:ext>
          </c:extLst>
        </c:ser>
        <c:ser>
          <c:idx val="79"/>
          <c:order val="79"/>
          <c:tx>
            <c:strRef>
              <c:f>'Citizen advice trends'!$C$87</c:f>
              <c:strCache>
                <c:ptCount val="1"/>
                <c:pt idx="0">
                  <c:v>Refusal due to immigration status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trends'!$D$87:$R$87</c:f>
            </c:numRef>
          </c:val>
          <c:smooth val="0"/>
          <c:extLst>
            <c:ext xmlns:c16="http://schemas.microsoft.com/office/drawing/2014/chart" uri="{C3380CC4-5D6E-409C-BE32-E72D297353CC}">
              <c16:uniqueId val="{0000004F-2373-4EEB-A496-342A1E007216}"/>
            </c:ext>
          </c:extLst>
        </c:ser>
        <c:ser>
          <c:idx val="80"/>
          <c:order val="80"/>
          <c:tx>
            <c:strRef>
              <c:f>'Citizen advice trends'!$C$88</c:f>
              <c:strCache>
                <c:ptCount val="1"/>
                <c:pt idx="0">
                  <c:v>House purchase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trends'!$D$88:$R$88</c:f>
            </c:numRef>
          </c:val>
          <c:smooth val="0"/>
          <c:extLst>
            <c:ext xmlns:c16="http://schemas.microsoft.com/office/drawing/2014/chart" uri="{C3380CC4-5D6E-409C-BE32-E72D297353CC}">
              <c16:uniqueId val="{00000050-2373-4EEB-A496-342A1E007216}"/>
            </c:ext>
          </c:extLst>
        </c:ser>
        <c:ser>
          <c:idx val="81"/>
          <c:order val="81"/>
          <c:tx>
            <c:strRef>
              <c:f>'Citizen advice trends'!$C$89</c:f>
              <c:strCache>
                <c:ptCount val="1"/>
                <c:pt idx="0">
                  <c:v>Shared ownership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trends'!$D$89:$R$89</c:f>
            </c:numRef>
          </c:val>
          <c:smooth val="0"/>
          <c:extLst>
            <c:ext xmlns:c16="http://schemas.microsoft.com/office/drawing/2014/chart" uri="{C3380CC4-5D6E-409C-BE32-E72D297353CC}">
              <c16:uniqueId val="{00000051-2373-4EEB-A496-342A1E007216}"/>
            </c:ext>
          </c:extLst>
        </c:ser>
        <c:ser>
          <c:idx val="82"/>
          <c:order val="82"/>
          <c:tx>
            <c:strRef>
              <c:f>'Citizen advice trends'!$C$90</c:f>
              <c:strCache>
                <c:ptCount val="1"/>
                <c:pt idx="0">
                  <c:v>Sheltered &amp; supported housing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trends'!$D$90:$R$90</c:f>
            </c:numRef>
          </c:val>
          <c:smooth val="0"/>
          <c:extLst>
            <c:ext xmlns:c16="http://schemas.microsoft.com/office/drawing/2014/chart" uri="{C3380CC4-5D6E-409C-BE32-E72D297353CC}">
              <c16:uniqueId val="{00000052-2373-4EEB-A496-342A1E007216}"/>
            </c:ext>
          </c:extLst>
        </c:ser>
        <c:ser>
          <c:idx val="83"/>
          <c:order val="83"/>
          <c:tx>
            <c:strRef>
              <c:f>'Citizen advice trends'!$C$91</c:f>
              <c:strCache>
                <c:ptCount val="1"/>
                <c:pt idx="0">
                  <c:v>Help to Buy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trends'!$D$91:$R$91</c:f>
            </c:numRef>
          </c:val>
          <c:smooth val="0"/>
          <c:extLst>
            <c:ext xmlns:c16="http://schemas.microsoft.com/office/drawing/2014/chart" uri="{C3380CC4-5D6E-409C-BE32-E72D297353CC}">
              <c16:uniqueId val="{00000053-2373-4EEB-A496-342A1E007216}"/>
            </c:ext>
          </c:extLst>
        </c:ser>
        <c:ser>
          <c:idx val="84"/>
          <c:order val="84"/>
          <c:tx>
            <c:strRef>
              <c:f>'Citizen advice trends'!$C$92</c:f>
              <c:strCache>
                <c:ptCount val="1"/>
                <c:pt idx="0">
                  <c:v>Lack of suitable or affordable alternatives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trends'!$D$92:$R$92</c:f>
            </c:numRef>
          </c:val>
          <c:smooth val="0"/>
          <c:extLst>
            <c:ext xmlns:c16="http://schemas.microsoft.com/office/drawing/2014/chart" uri="{C3380CC4-5D6E-409C-BE32-E72D297353CC}">
              <c16:uniqueId val="{00000054-2373-4EEB-A496-342A1E007216}"/>
            </c:ext>
          </c:extLst>
        </c:ser>
        <c:ser>
          <c:idx val="85"/>
          <c:order val="85"/>
          <c:tx>
            <c:strRef>
              <c:f>'Citizen advice trends'!$C$93</c:f>
              <c:strCache>
                <c:ptCount val="1"/>
                <c:pt idx="0">
                  <c:v>Not recorded/not applicable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trends'!$D$93:$R$93</c:f>
            </c:numRef>
          </c:val>
          <c:smooth val="0"/>
          <c:extLst>
            <c:ext xmlns:c16="http://schemas.microsoft.com/office/drawing/2014/chart" uri="{C3380CC4-5D6E-409C-BE32-E72D297353CC}">
              <c16:uniqueId val="{00000055-2373-4EEB-A496-342A1E007216}"/>
            </c:ext>
          </c:extLst>
        </c:ser>
        <c:ser>
          <c:idx val="86"/>
          <c:order val="86"/>
          <c:tx>
            <c:strRef>
              <c:f>'Citizen advice trends'!$C$94</c:f>
              <c:strCache>
                <c:ptCount val="1"/>
                <c:pt idx="0">
                  <c:v>No Recourse to Public Funds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trends'!$D$94:$R$94</c:f>
            </c:numRef>
          </c:val>
          <c:smooth val="0"/>
          <c:extLst>
            <c:ext xmlns:c16="http://schemas.microsoft.com/office/drawing/2014/chart" uri="{C3380CC4-5D6E-409C-BE32-E72D297353CC}">
              <c16:uniqueId val="{00000056-2373-4EEB-A496-342A1E007216}"/>
            </c:ext>
          </c:extLst>
        </c:ser>
        <c:ser>
          <c:idx val="87"/>
          <c:order val="87"/>
          <c:tx>
            <c:strRef>
              <c:f>'Citizen advice trends'!$C$95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trends'!$D$95:$R$95</c:f>
            </c:numRef>
          </c:val>
          <c:smooth val="0"/>
          <c:extLst>
            <c:ext xmlns:c16="http://schemas.microsoft.com/office/drawing/2014/chart" uri="{C3380CC4-5D6E-409C-BE32-E72D297353CC}">
              <c16:uniqueId val="{00000057-2373-4EEB-A496-342A1E007216}"/>
            </c:ext>
          </c:extLst>
        </c:ser>
        <c:ser>
          <c:idx val="88"/>
          <c:order val="88"/>
          <c:tx>
            <c:strRef>
              <c:f>'Citizen advice trends'!$C$96</c:f>
              <c:strCache>
                <c:ptCount val="1"/>
                <c:pt idx="0">
                  <c:v>Charges ineligible for housing related costs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trends'!$D$96:$R$96</c:f>
            </c:numRef>
          </c:val>
          <c:smooth val="0"/>
          <c:extLst>
            <c:ext xmlns:c16="http://schemas.microsoft.com/office/drawing/2014/chart" uri="{C3380CC4-5D6E-409C-BE32-E72D297353CC}">
              <c16:uniqueId val="{00000058-2373-4EEB-A496-342A1E007216}"/>
            </c:ext>
          </c:extLst>
        </c:ser>
        <c:ser>
          <c:idx val="89"/>
          <c:order val="89"/>
          <c:tx>
            <c:strRef>
              <c:f>'Citizen advice trends'!$C$97</c:f>
              <c:strCache>
                <c:ptCount val="1"/>
                <c:pt idx="0">
                  <c:v>Fitness for Human Habitation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trends'!$D$97:$R$97</c:f>
            </c:numRef>
          </c:val>
          <c:smooth val="0"/>
          <c:extLst>
            <c:ext xmlns:c16="http://schemas.microsoft.com/office/drawing/2014/chart" uri="{C3380CC4-5D6E-409C-BE32-E72D297353CC}">
              <c16:uniqueId val="{00000059-2373-4EEB-A496-342A1E007216}"/>
            </c:ext>
          </c:extLst>
        </c:ser>
        <c:ser>
          <c:idx val="90"/>
          <c:order val="90"/>
          <c:tx>
            <c:strRef>
              <c:f>'Citizen advice trends'!$C$98</c:f>
              <c:strCache>
                <c:ptCount val="1"/>
                <c:pt idx="0">
                  <c:v>Water charges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trends'!$D$98:$R$98</c:f>
            </c:numRef>
          </c:val>
          <c:smooth val="0"/>
          <c:extLst>
            <c:ext xmlns:c16="http://schemas.microsoft.com/office/drawing/2014/chart" uri="{C3380CC4-5D6E-409C-BE32-E72D297353CC}">
              <c16:uniqueId val="{0000005A-2373-4EEB-A496-342A1E007216}"/>
            </c:ext>
          </c:extLst>
        </c:ser>
        <c:ser>
          <c:idx val="91"/>
          <c:order val="91"/>
          <c:tx>
            <c:strRef>
              <c:f>'Citizen advice trends'!$C$99</c:f>
              <c:strCache>
                <c:ptCount val="1"/>
                <c:pt idx="0">
                  <c:v>Rent increases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trends'!$D$99:$R$99</c:f>
            </c:numRef>
          </c:val>
          <c:smooth val="0"/>
          <c:extLst>
            <c:ext xmlns:c16="http://schemas.microsoft.com/office/drawing/2014/chart" uri="{C3380CC4-5D6E-409C-BE32-E72D297353CC}">
              <c16:uniqueId val="{0000005B-2373-4EEB-A496-342A1E007216}"/>
            </c:ext>
          </c:extLst>
        </c:ser>
        <c:ser>
          <c:idx val="92"/>
          <c:order val="92"/>
          <c:tx>
            <c:strRef>
              <c:f>'Citizen advice trends'!$C$100</c:f>
              <c:strCache>
                <c:ptCount val="1"/>
                <c:pt idx="0">
                  <c:v>Other charges and rent issues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trends'!$D$100:$R$100</c:f>
            </c:numRef>
          </c:val>
          <c:smooth val="0"/>
          <c:extLst>
            <c:ext xmlns:c16="http://schemas.microsoft.com/office/drawing/2014/chart" uri="{C3380CC4-5D6E-409C-BE32-E72D297353CC}">
              <c16:uniqueId val="{0000005C-2373-4EEB-A496-342A1E007216}"/>
            </c:ext>
          </c:extLst>
        </c:ser>
        <c:ser>
          <c:idx val="93"/>
          <c:order val="93"/>
          <c:tx>
            <c:strRef>
              <c:f>'Citizen advice trends'!$C$101</c:f>
              <c:strCache>
                <c:ptCount val="1"/>
                <c:pt idx="0">
                  <c:v>Assignment/mutual exchange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trends'!$D$101:$R$101</c:f>
            </c:numRef>
          </c:val>
          <c:smooth val="0"/>
          <c:extLst>
            <c:ext xmlns:c16="http://schemas.microsoft.com/office/drawing/2014/chart" uri="{C3380CC4-5D6E-409C-BE32-E72D297353CC}">
              <c16:uniqueId val="{0000005D-2373-4EEB-A496-342A1E007216}"/>
            </c:ext>
          </c:extLst>
        </c:ser>
        <c:ser>
          <c:idx val="94"/>
          <c:order val="94"/>
          <c:tx>
            <c:strRef>
              <c:f>'Citizen advice trends'!$C$102</c:f>
              <c:strCache>
                <c:ptCount val="1"/>
                <c:pt idx="0">
                  <c:v>Disrepair/maintenance - damp/mould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trends'!$D$102:$R$102</c:f>
            </c:numRef>
          </c:val>
          <c:smooth val="0"/>
          <c:extLst>
            <c:ext xmlns:c16="http://schemas.microsoft.com/office/drawing/2014/chart" uri="{C3380CC4-5D6E-409C-BE32-E72D297353CC}">
              <c16:uniqueId val="{0000005E-2373-4EEB-A496-342A1E007216}"/>
            </c:ext>
          </c:extLst>
        </c:ser>
        <c:ser>
          <c:idx val="95"/>
          <c:order val="95"/>
          <c:tx>
            <c:strRef>
              <c:f>'Citizen advice trends'!$C$103</c:f>
              <c:strCache>
                <c:ptCount val="1"/>
                <c:pt idx="0">
                  <c:v>Disrepair/Maintenance - non damp/mould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trends'!$D$103:$R$103</c:f>
            </c:numRef>
          </c:val>
          <c:smooth val="0"/>
          <c:extLst>
            <c:ext xmlns:c16="http://schemas.microsoft.com/office/drawing/2014/chart" uri="{C3380CC4-5D6E-409C-BE32-E72D297353CC}">
              <c16:uniqueId val="{0000005F-2373-4EEB-A496-342A1E007216}"/>
            </c:ext>
          </c:extLst>
        </c:ser>
        <c:ser>
          <c:idx val="96"/>
          <c:order val="96"/>
          <c:tx>
            <c:strRef>
              <c:f>'Citizen advice trends'!$C$104</c:f>
              <c:strCache>
                <c:ptCount val="1"/>
                <c:pt idx="0">
                  <c:v>Disrepair/Maintenance - non damp/mould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trends'!$D$104:$R$104</c:f>
            </c:numRef>
          </c:val>
          <c:smooth val="0"/>
          <c:extLst>
            <c:ext xmlns:c16="http://schemas.microsoft.com/office/drawing/2014/chart" uri="{C3380CC4-5D6E-409C-BE32-E72D297353CC}">
              <c16:uniqueId val="{00000060-2373-4EEB-A496-342A1E007216}"/>
            </c:ext>
          </c:extLst>
        </c:ser>
        <c:ser>
          <c:idx val="97"/>
          <c:order val="97"/>
          <c:tx>
            <c:strRef>
              <c:f>'Citizen advice trends'!$C$105</c:f>
              <c:strCache>
                <c:ptCount val="1"/>
                <c:pt idx="0">
                  <c:v>Court costs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trends'!$D$105:$R$105</c:f>
            </c:numRef>
          </c:val>
          <c:smooth val="0"/>
          <c:extLst>
            <c:ext xmlns:c16="http://schemas.microsoft.com/office/drawing/2014/chart" uri="{C3380CC4-5D6E-409C-BE32-E72D297353CC}">
              <c16:uniqueId val="{00000061-2373-4EEB-A496-342A1E007216}"/>
            </c:ext>
          </c:extLst>
        </c:ser>
        <c:ser>
          <c:idx val="98"/>
          <c:order val="98"/>
          <c:tx>
            <c:strRef>
              <c:f>'Citizen advice trends'!$C$106</c:f>
              <c:strCache>
                <c:ptCount val="1"/>
                <c:pt idx="0">
                  <c:v>Clearance or redecoration after death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trends'!$D$106:$R$106</c:f>
            </c:numRef>
          </c:val>
          <c:smooth val="0"/>
          <c:extLst>
            <c:ext xmlns:c16="http://schemas.microsoft.com/office/drawing/2014/chart" uri="{C3380CC4-5D6E-409C-BE32-E72D297353CC}">
              <c16:uniqueId val="{00000062-2373-4EEB-A496-342A1E007216}"/>
            </c:ext>
          </c:extLst>
        </c:ser>
        <c:ser>
          <c:idx val="99"/>
          <c:order val="99"/>
          <c:tx>
            <c:strRef>
              <c:f>'Citizen advice trends'!$C$107</c:f>
              <c:strCache>
                <c:ptCount val="1"/>
                <c:pt idx="0">
                  <c:v>Court representation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trends'!$D$107:$R$107</c:f>
            </c:numRef>
          </c:val>
          <c:smooth val="0"/>
          <c:extLst>
            <c:ext xmlns:c16="http://schemas.microsoft.com/office/drawing/2014/chart" uri="{C3380CC4-5D6E-409C-BE32-E72D297353CC}">
              <c16:uniqueId val="{00000063-2373-4EEB-A496-342A1E007216}"/>
            </c:ext>
          </c:extLst>
        </c:ser>
        <c:ser>
          <c:idx val="100"/>
          <c:order val="100"/>
          <c:tx>
            <c:strRef>
              <c:f>'Citizen advice trends'!$C$108</c:f>
              <c:strCache>
                <c:ptCount val="1"/>
                <c:pt idx="0">
                  <c:v>Suitability of accommodation - excl overcrowding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trends'!$D$108:$R$108</c:f>
            </c:numRef>
          </c:val>
          <c:smooth val="0"/>
          <c:extLst>
            <c:ext xmlns:c16="http://schemas.microsoft.com/office/drawing/2014/chart" uri="{C3380CC4-5D6E-409C-BE32-E72D297353CC}">
              <c16:uniqueId val="{00000064-2373-4EEB-A496-342A1E007216}"/>
            </c:ext>
          </c:extLst>
        </c:ser>
        <c:ser>
          <c:idx val="101"/>
          <c:order val="101"/>
          <c:tx>
            <c:strRef>
              <c:f>'Citizen advice trends'!$C$109</c:f>
              <c:strCache>
                <c:ptCount val="1"/>
                <c:pt idx="0">
                  <c:v>Suitability - Overcrowding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trends'!$D$109:$R$109</c:f>
            </c:numRef>
          </c:val>
          <c:smooth val="0"/>
          <c:extLst>
            <c:ext xmlns:c16="http://schemas.microsoft.com/office/drawing/2014/chart" uri="{C3380CC4-5D6E-409C-BE32-E72D297353CC}">
              <c16:uniqueId val="{00000065-2373-4EEB-A496-342A1E007216}"/>
            </c:ext>
          </c:extLst>
        </c:ser>
        <c:ser>
          <c:idx val="102"/>
          <c:order val="102"/>
          <c:tx>
            <c:strRef>
              <c:f>'Citizen advice trends'!$C$110</c:f>
              <c:strCache>
                <c:ptCount val="1"/>
                <c:pt idx="0">
                  <c:v>Security of tenure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trends'!$D$110:$R$110</c:f>
            </c:numRef>
          </c:val>
          <c:smooth val="0"/>
          <c:extLst>
            <c:ext xmlns:c16="http://schemas.microsoft.com/office/drawing/2014/chart" uri="{C3380CC4-5D6E-409C-BE32-E72D297353CC}">
              <c16:uniqueId val="{00000066-2373-4EEB-A496-342A1E007216}"/>
            </c:ext>
          </c:extLst>
        </c:ser>
        <c:ser>
          <c:idx val="103"/>
          <c:order val="103"/>
          <c:tx>
            <c:strRef>
              <c:f>'Citizen advice trends'!$C$111</c:f>
              <c:strCache>
                <c:ptCount val="1"/>
                <c:pt idx="0">
                  <c:v>Secure tenant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trends'!$D$111:$R$111</c:f>
            </c:numRef>
          </c:val>
          <c:smooth val="0"/>
          <c:extLst>
            <c:ext xmlns:c16="http://schemas.microsoft.com/office/drawing/2014/chart" uri="{C3380CC4-5D6E-409C-BE32-E72D297353CC}">
              <c16:uniqueId val="{00000067-2373-4EEB-A496-342A1E007216}"/>
            </c:ext>
          </c:extLst>
        </c:ser>
        <c:ser>
          <c:idx val="104"/>
          <c:order val="104"/>
          <c:tx>
            <c:strRef>
              <c:f>'Citizen advice trends'!$C$112</c:f>
              <c:strCache>
                <c:ptCount val="1"/>
                <c:pt idx="0">
                  <c:v>Non Secure tenant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trends'!$D$112:$R$112</c:f>
            </c:numRef>
          </c:val>
          <c:smooth val="0"/>
          <c:extLst>
            <c:ext xmlns:c16="http://schemas.microsoft.com/office/drawing/2014/chart" uri="{C3380CC4-5D6E-409C-BE32-E72D297353CC}">
              <c16:uniqueId val="{00000068-2373-4EEB-A496-342A1E007216}"/>
            </c:ext>
          </c:extLst>
        </c:ser>
        <c:ser>
          <c:idx val="105"/>
          <c:order val="105"/>
          <c:tx>
            <c:strRef>
              <c:f>'Citizen advice trends'!$C$113</c:f>
              <c:strCache>
                <c:ptCount val="1"/>
                <c:pt idx="0">
                  <c:v>Excluded occupier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trends'!$D$113:$R$113</c:f>
            </c:numRef>
          </c:val>
          <c:smooth val="0"/>
          <c:extLst>
            <c:ext xmlns:c16="http://schemas.microsoft.com/office/drawing/2014/chart" uri="{C3380CC4-5D6E-409C-BE32-E72D297353CC}">
              <c16:uniqueId val="{00000069-2373-4EEB-A496-342A1E007216}"/>
            </c:ext>
          </c:extLst>
        </c:ser>
        <c:ser>
          <c:idx val="106"/>
          <c:order val="106"/>
          <c:tx>
            <c:strRef>
              <c:f>'Citizen advice trends'!$C$114</c:f>
              <c:strCache>
                <c:ptCount val="1"/>
                <c:pt idx="0">
                  <c:v>Succession rights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trends'!$D$114:$R$114</c:f>
            </c:numRef>
          </c:val>
          <c:smooth val="0"/>
          <c:extLst>
            <c:ext xmlns:c16="http://schemas.microsoft.com/office/drawing/2014/chart" uri="{C3380CC4-5D6E-409C-BE32-E72D297353CC}">
              <c16:uniqueId val="{0000006A-2373-4EEB-A496-342A1E007216}"/>
            </c:ext>
          </c:extLst>
        </c:ser>
        <c:ser>
          <c:idx val="107"/>
          <c:order val="107"/>
          <c:tx>
            <c:strRef>
              <c:f>'Citizen advice trends'!$C$115</c:f>
              <c:strCache>
                <c:ptCount val="1"/>
                <c:pt idx="0">
                  <c:v>Complaints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trends'!$D$115:$R$115</c:f>
            </c:numRef>
          </c:val>
          <c:smooth val="0"/>
          <c:extLst>
            <c:ext xmlns:c16="http://schemas.microsoft.com/office/drawing/2014/chart" uri="{C3380CC4-5D6E-409C-BE32-E72D297353CC}">
              <c16:uniqueId val="{0000006B-2373-4EEB-A496-342A1E007216}"/>
            </c:ext>
          </c:extLst>
        </c:ser>
        <c:ser>
          <c:idx val="108"/>
          <c:order val="108"/>
          <c:tx>
            <c:strRef>
              <c:f>'Citizen advice trends'!$C$116</c:f>
              <c:strCache>
                <c:ptCount val="1"/>
                <c:pt idx="0">
                  <c:v>EPC rating below 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trends'!$D$116:$R$116</c:f>
            </c:numRef>
          </c:val>
          <c:smooth val="0"/>
          <c:extLst>
            <c:ext xmlns:c16="http://schemas.microsoft.com/office/drawing/2014/chart" uri="{C3380CC4-5D6E-409C-BE32-E72D297353CC}">
              <c16:uniqueId val="{0000006C-2373-4EEB-A496-342A1E007216}"/>
            </c:ext>
          </c:extLst>
        </c:ser>
        <c:ser>
          <c:idx val="109"/>
          <c:order val="109"/>
          <c:tx>
            <c:strRef>
              <c:f>'Citizen advice trends'!$C$117</c:f>
              <c:strCache>
                <c:ptCount val="1"/>
                <c:pt idx="0">
                  <c:v>Housing stock transfer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trends'!$D$117:$R$117</c:f>
            </c:numRef>
          </c:val>
          <c:smooth val="0"/>
          <c:extLst>
            <c:ext xmlns:c16="http://schemas.microsoft.com/office/drawing/2014/chart" uri="{C3380CC4-5D6E-409C-BE32-E72D297353CC}">
              <c16:uniqueId val="{0000006D-2373-4EEB-A496-342A1E007216}"/>
            </c:ext>
          </c:extLst>
        </c:ser>
        <c:ser>
          <c:idx val="110"/>
          <c:order val="110"/>
          <c:tx>
            <c:strRef>
              <c:f>'Citizen advice trends'!$C$118</c:f>
              <c:strCache>
                <c:ptCount val="1"/>
                <c:pt idx="0">
                  <c:v>No EPC rating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trends'!$D$118:$R$118</c:f>
            </c:numRef>
          </c:val>
          <c:smooth val="0"/>
          <c:extLst>
            <c:ext xmlns:c16="http://schemas.microsoft.com/office/drawing/2014/chart" uri="{C3380CC4-5D6E-409C-BE32-E72D297353CC}">
              <c16:uniqueId val="{0000006E-2373-4EEB-A496-342A1E007216}"/>
            </c:ext>
          </c:extLst>
        </c:ser>
        <c:ser>
          <c:idx val="111"/>
          <c:order val="111"/>
          <c:tx>
            <c:strRef>
              <c:f>'Citizen advice trends'!$C$119</c:f>
              <c:strCache>
                <c:ptCount val="1"/>
                <c:pt idx="0">
                  <c:v>Lack of suitable or affordable alternatives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trends'!$D$119:$R$119</c:f>
            </c:numRef>
          </c:val>
          <c:smooth val="0"/>
          <c:extLst>
            <c:ext xmlns:c16="http://schemas.microsoft.com/office/drawing/2014/chart" uri="{C3380CC4-5D6E-409C-BE32-E72D297353CC}">
              <c16:uniqueId val="{0000006F-2373-4EEB-A496-342A1E007216}"/>
            </c:ext>
          </c:extLst>
        </c:ser>
        <c:ser>
          <c:idx val="112"/>
          <c:order val="112"/>
          <c:tx>
            <c:strRef>
              <c:f>'Citizen advice trends'!$C$120</c:f>
              <c:strCache>
                <c:ptCount val="1"/>
                <c:pt idx="0">
                  <c:v>Invalid notice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trends'!$D$120:$R$120</c:f>
            </c:numRef>
          </c:val>
          <c:smooth val="0"/>
          <c:extLst>
            <c:ext xmlns:c16="http://schemas.microsoft.com/office/drawing/2014/chart" uri="{C3380CC4-5D6E-409C-BE32-E72D297353CC}">
              <c16:uniqueId val="{00000070-2373-4EEB-A496-342A1E007216}"/>
            </c:ext>
          </c:extLst>
        </c:ser>
        <c:ser>
          <c:idx val="113"/>
          <c:order val="113"/>
          <c:tx>
            <c:strRef>
              <c:f>'Citizen advice trends'!$C$121</c:f>
              <c:strCache>
                <c:ptCount val="1"/>
                <c:pt idx="0">
                  <c:v>Valid notice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trends'!$D$121:$R$121</c:f>
            </c:numRef>
          </c:val>
          <c:smooth val="0"/>
          <c:extLst>
            <c:ext xmlns:c16="http://schemas.microsoft.com/office/drawing/2014/chart" uri="{C3380CC4-5D6E-409C-BE32-E72D297353CC}">
              <c16:uniqueId val="{00000071-2373-4EEB-A496-342A1E007216}"/>
            </c:ext>
          </c:extLst>
        </c:ser>
        <c:ser>
          <c:idx val="114"/>
          <c:order val="114"/>
          <c:tx>
            <c:strRef>
              <c:f>'Citizen advice trends'!$C$122</c:f>
              <c:strCache>
                <c:ptCount val="1"/>
                <c:pt idx="0">
                  <c:v>Not recorded/not applicable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trends'!$D$122:$R$122</c:f>
            </c:numRef>
          </c:val>
          <c:smooth val="0"/>
          <c:extLst>
            <c:ext xmlns:c16="http://schemas.microsoft.com/office/drawing/2014/chart" uri="{C3380CC4-5D6E-409C-BE32-E72D297353CC}">
              <c16:uniqueId val="{00000072-2373-4EEB-A496-342A1E007216}"/>
            </c:ext>
          </c:extLst>
        </c:ser>
        <c:ser>
          <c:idx val="115"/>
          <c:order val="115"/>
          <c:tx>
            <c:strRef>
              <c:f>'Citizen advice trends'!$C$123</c:f>
              <c:strCache>
                <c:ptCount val="1"/>
                <c:pt idx="0">
                  <c:v>Possession action (not for arrears)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trends'!$D$123:$R$123</c:f>
            </c:numRef>
          </c:val>
          <c:smooth val="0"/>
          <c:extLst>
            <c:ext xmlns:c16="http://schemas.microsoft.com/office/drawing/2014/chart" uri="{C3380CC4-5D6E-409C-BE32-E72D297353CC}">
              <c16:uniqueId val="{00000073-2373-4EEB-A496-342A1E007216}"/>
            </c:ext>
          </c:extLst>
        </c:ser>
        <c:ser>
          <c:idx val="116"/>
          <c:order val="116"/>
          <c:tx>
            <c:strRef>
              <c:f>'Citizen advice trends'!$C$124</c:f>
              <c:strCache>
                <c:ptCount val="1"/>
                <c:pt idx="0">
                  <c:v>Adaptations for disabled people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trends'!$D$124:$R$124</c:f>
            </c:numRef>
          </c:val>
          <c:smooth val="0"/>
          <c:extLst>
            <c:ext xmlns:c16="http://schemas.microsoft.com/office/drawing/2014/chart" uri="{C3380CC4-5D6E-409C-BE32-E72D297353CC}">
              <c16:uniqueId val="{00000074-2373-4EEB-A496-342A1E007216}"/>
            </c:ext>
          </c:extLst>
        </c:ser>
        <c:ser>
          <c:idx val="117"/>
          <c:order val="117"/>
          <c:tx>
            <c:strRef>
              <c:f>'Citizen advice trends'!$C$125</c:f>
              <c:strCache>
                <c:ptCount val="1"/>
                <c:pt idx="0">
                  <c:v>District and communal heating systems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trends'!$D$125:$R$125</c:f>
            </c:numRef>
          </c:val>
          <c:smooth val="0"/>
          <c:extLst>
            <c:ext xmlns:c16="http://schemas.microsoft.com/office/drawing/2014/chart" uri="{C3380CC4-5D6E-409C-BE32-E72D297353CC}">
              <c16:uniqueId val="{00000075-2373-4EEB-A496-342A1E007216}"/>
            </c:ext>
          </c:extLst>
        </c:ser>
        <c:ser>
          <c:idx val="118"/>
          <c:order val="118"/>
          <c:tx>
            <c:strRef>
              <c:f>'Citizen advice trends'!$C$126</c:f>
              <c:strCache>
                <c:ptCount val="1"/>
                <c:pt idx="0">
                  <c:v>Relationship breakdown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trends'!$D$126:$R$126</c:f>
            </c:numRef>
          </c:val>
          <c:smooth val="0"/>
          <c:extLst>
            <c:ext xmlns:c16="http://schemas.microsoft.com/office/drawing/2014/chart" uri="{C3380CC4-5D6E-409C-BE32-E72D297353CC}">
              <c16:uniqueId val="{00000076-2373-4EEB-A496-342A1E007216}"/>
            </c:ext>
          </c:extLst>
        </c:ser>
        <c:ser>
          <c:idx val="119"/>
          <c:order val="119"/>
          <c:tx>
            <c:strRef>
              <c:f>'Citizen advice trends'!$C$127</c:f>
              <c:strCache>
                <c:ptCount val="1"/>
                <c:pt idx="0">
                  <c:v>Right to buy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trends'!$D$127:$R$127</c:f>
            </c:numRef>
          </c:val>
          <c:smooth val="0"/>
          <c:extLst>
            <c:ext xmlns:c16="http://schemas.microsoft.com/office/drawing/2014/chart" uri="{C3380CC4-5D6E-409C-BE32-E72D297353CC}">
              <c16:uniqueId val="{00000077-2373-4EEB-A496-342A1E007216}"/>
            </c:ext>
          </c:extLst>
        </c:ser>
        <c:ser>
          <c:idx val="120"/>
          <c:order val="120"/>
          <c:tx>
            <c:strRef>
              <c:f>'Citizen advice trends'!$C$128</c:f>
              <c:strCache>
                <c:ptCount val="1"/>
                <c:pt idx="0">
                  <c:v>Tenant notice requirements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trends'!$D$128:$R$128</c:f>
            </c:numRef>
          </c:val>
          <c:smooth val="0"/>
          <c:extLst>
            <c:ext xmlns:c16="http://schemas.microsoft.com/office/drawing/2014/chart" uri="{C3380CC4-5D6E-409C-BE32-E72D297353CC}">
              <c16:uniqueId val="{00000078-2373-4EEB-A496-342A1E007216}"/>
            </c:ext>
          </c:extLst>
        </c:ser>
        <c:ser>
          <c:idx val="121"/>
          <c:order val="121"/>
          <c:tx>
            <c:strRef>
              <c:f>'Citizen advice trends'!$C$129</c:f>
              <c:strCache>
                <c:ptCount val="1"/>
                <c:pt idx="0">
                  <c:v>Charges eligible for housing related costs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trends'!$D$129:$R$129</c:f>
            </c:numRef>
          </c:val>
          <c:smooth val="0"/>
          <c:extLst>
            <c:ext xmlns:c16="http://schemas.microsoft.com/office/drawing/2014/chart" uri="{C3380CC4-5D6E-409C-BE32-E72D297353CC}">
              <c16:uniqueId val="{00000079-2373-4EEB-A496-342A1E007216}"/>
            </c:ext>
          </c:extLst>
        </c:ser>
        <c:ser>
          <c:idx val="122"/>
          <c:order val="122"/>
          <c:tx>
            <c:strRef>
              <c:f>'Citizen advice trends'!$C$130</c:f>
              <c:strCache>
                <c:ptCount val="1"/>
                <c:pt idx="0">
                  <c:v>Wales Secure Occupation Contract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trends'!$D$130:$R$130</c:f>
            </c:numRef>
          </c:val>
          <c:smooth val="0"/>
          <c:extLst>
            <c:ext xmlns:c16="http://schemas.microsoft.com/office/drawing/2014/chart" uri="{C3380CC4-5D6E-409C-BE32-E72D297353CC}">
              <c16:uniqueId val="{0000007A-2373-4EEB-A496-342A1E007216}"/>
            </c:ext>
          </c:extLst>
        </c:ser>
        <c:ser>
          <c:idx val="123"/>
          <c:order val="123"/>
          <c:tx>
            <c:strRef>
              <c:f>'Citizen advice trends'!$C$131</c:f>
              <c:strCache>
                <c:ptCount val="1"/>
                <c:pt idx="0">
                  <c:v>Joint tenacy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trends'!$D$131:$R$131</c:f>
            </c:numRef>
          </c:val>
          <c:smooth val="0"/>
          <c:extLst>
            <c:ext xmlns:c16="http://schemas.microsoft.com/office/drawing/2014/chart" uri="{C3380CC4-5D6E-409C-BE32-E72D297353CC}">
              <c16:uniqueId val="{0000007B-2373-4EEB-A496-342A1E007216}"/>
            </c:ext>
          </c:extLst>
        </c:ser>
        <c:ser>
          <c:idx val="124"/>
          <c:order val="124"/>
          <c:tx>
            <c:strRef>
              <c:f>'Citizen advice trends'!$C$132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trends'!$D$132:$R$132</c:f>
            </c:numRef>
          </c:val>
          <c:smooth val="0"/>
          <c:extLst>
            <c:ext xmlns:c16="http://schemas.microsoft.com/office/drawing/2014/chart" uri="{C3380CC4-5D6E-409C-BE32-E72D297353CC}">
              <c16:uniqueId val="{0000007C-2373-4EEB-A496-342A1E007216}"/>
            </c:ext>
          </c:extLst>
        </c:ser>
        <c:ser>
          <c:idx val="125"/>
          <c:order val="125"/>
          <c:tx>
            <c:strRef>
              <c:f>'Citizen advice trends'!$C$133</c:f>
              <c:strCache>
                <c:ptCount val="1"/>
                <c:pt idx="0">
                  <c:v>Fitness for Human Habitation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trends'!$D$133:$R$133</c:f>
            </c:numRef>
          </c:val>
          <c:smooth val="0"/>
          <c:extLst>
            <c:ext xmlns:c16="http://schemas.microsoft.com/office/drawing/2014/chart" uri="{C3380CC4-5D6E-409C-BE32-E72D297353CC}">
              <c16:uniqueId val="{0000007D-2373-4EEB-A496-342A1E007216}"/>
            </c:ext>
          </c:extLst>
        </c:ser>
        <c:ser>
          <c:idx val="126"/>
          <c:order val="126"/>
          <c:tx>
            <c:strRef>
              <c:f>'Citizen advice trends'!$C$134</c:f>
              <c:strCache>
                <c:ptCount val="1"/>
                <c:pt idx="0">
                  <c:v>Water charges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trends'!$D$134:$R$134</c:f>
            </c:numRef>
          </c:val>
          <c:smooth val="0"/>
          <c:extLst>
            <c:ext xmlns:c16="http://schemas.microsoft.com/office/drawing/2014/chart" uri="{C3380CC4-5D6E-409C-BE32-E72D297353CC}">
              <c16:uniqueId val="{0000007E-2373-4EEB-A496-342A1E007216}"/>
            </c:ext>
          </c:extLst>
        </c:ser>
        <c:ser>
          <c:idx val="127"/>
          <c:order val="127"/>
          <c:tx>
            <c:strRef>
              <c:f>'Citizen advice trends'!$C$135</c:f>
              <c:strCache>
                <c:ptCount val="1"/>
                <c:pt idx="0">
                  <c:v>Rent increases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trends'!$D$135:$R$135</c:f>
            </c:numRef>
          </c:val>
          <c:smooth val="0"/>
          <c:extLst>
            <c:ext xmlns:c16="http://schemas.microsoft.com/office/drawing/2014/chart" uri="{C3380CC4-5D6E-409C-BE32-E72D297353CC}">
              <c16:uniqueId val="{0000007F-2373-4EEB-A496-342A1E007216}"/>
            </c:ext>
          </c:extLst>
        </c:ser>
        <c:ser>
          <c:idx val="128"/>
          <c:order val="128"/>
          <c:tx>
            <c:strRef>
              <c:f>'Citizen advice trends'!$C$136</c:f>
              <c:strCache>
                <c:ptCount val="1"/>
                <c:pt idx="0">
                  <c:v>Other charges and rent issues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trends'!$D$136:$R$136</c:f>
            </c:numRef>
          </c:val>
          <c:smooth val="0"/>
          <c:extLst>
            <c:ext xmlns:c16="http://schemas.microsoft.com/office/drawing/2014/chart" uri="{C3380CC4-5D6E-409C-BE32-E72D297353CC}">
              <c16:uniqueId val="{00000080-2373-4EEB-A496-342A1E007216}"/>
            </c:ext>
          </c:extLst>
        </c:ser>
        <c:ser>
          <c:idx val="129"/>
          <c:order val="129"/>
          <c:tx>
            <c:strRef>
              <c:f>'Citizen advice trends'!$C$137</c:f>
              <c:strCache>
                <c:ptCount val="1"/>
                <c:pt idx="0">
                  <c:v>Assignment/mutual exchange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trends'!$D$137:$R$137</c:f>
            </c:numRef>
          </c:val>
          <c:smooth val="0"/>
          <c:extLst>
            <c:ext xmlns:c16="http://schemas.microsoft.com/office/drawing/2014/chart" uri="{C3380CC4-5D6E-409C-BE32-E72D297353CC}">
              <c16:uniqueId val="{00000081-2373-4EEB-A496-342A1E007216}"/>
            </c:ext>
          </c:extLst>
        </c:ser>
        <c:ser>
          <c:idx val="130"/>
          <c:order val="130"/>
          <c:tx>
            <c:strRef>
              <c:f>'Citizen advice trends'!$C$138</c:f>
              <c:strCache>
                <c:ptCount val="1"/>
                <c:pt idx="0">
                  <c:v>Disrepair - damp/mould/condensation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trends'!$D$138:$R$138</c:f>
            </c:numRef>
          </c:val>
          <c:smooth val="0"/>
          <c:extLst>
            <c:ext xmlns:c16="http://schemas.microsoft.com/office/drawing/2014/chart" uri="{C3380CC4-5D6E-409C-BE32-E72D297353CC}">
              <c16:uniqueId val="{00000082-2373-4EEB-A496-342A1E007216}"/>
            </c:ext>
          </c:extLst>
        </c:ser>
        <c:ser>
          <c:idx val="131"/>
          <c:order val="131"/>
          <c:tx>
            <c:strRef>
              <c:f>'Citizen advice trends'!$C$139</c:f>
              <c:strCache>
                <c:ptCount val="1"/>
                <c:pt idx="0">
                  <c:v>Disrepair/Maintenance - non damp/mould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trends'!$D$139:$R$139</c:f>
            </c:numRef>
          </c:val>
          <c:smooth val="0"/>
          <c:extLst>
            <c:ext xmlns:c16="http://schemas.microsoft.com/office/drawing/2014/chart" uri="{C3380CC4-5D6E-409C-BE32-E72D297353CC}">
              <c16:uniqueId val="{00000083-2373-4EEB-A496-342A1E007216}"/>
            </c:ext>
          </c:extLst>
        </c:ser>
        <c:ser>
          <c:idx val="132"/>
          <c:order val="132"/>
          <c:tx>
            <c:strRef>
              <c:f>'Citizen advice trends'!$C$140</c:f>
              <c:strCache>
                <c:ptCount val="1"/>
                <c:pt idx="0">
                  <c:v>Complaints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trends'!$D$140:$R$140</c:f>
            </c:numRef>
          </c:val>
          <c:smooth val="0"/>
          <c:extLst>
            <c:ext xmlns:c16="http://schemas.microsoft.com/office/drawing/2014/chart" uri="{C3380CC4-5D6E-409C-BE32-E72D297353CC}">
              <c16:uniqueId val="{00000084-2373-4EEB-A496-342A1E007216}"/>
            </c:ext>
          </c:extLst>
        </c:ser>
        <c:ser>
          <c:idx val="133"/>
          <c:order val="133"/>
          <c:tx>
            <c:strRef>
              <c:f>'Citizen advice trends'!$C$141</c:f>
              <c:strCache>
                <c:ptCount val="1"/>
                <c:pt idx="0">
                  <c:v>Court costs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trends'!$D$141:$R$141</c:f>
            </c:numRef>
          </c:val>
          <c:smooth val="0"/>
          <c:extLst>
            <c:ext xmlns:c16="http://schemas.microsoft.com/office/drawing/2014/chart" uri="{C3380CC4-5D6E-409C-BE32-E72D297353CC}">
              <c16:uniqueId val="{00000085-2373-4EEB-A496-342A1E007216}"/>
            </c:ext>
          </c:extLst>
        </c:ser>
        <c:ser>
          <c:idx val="134"/>
          <c:order val="134"/>
          <c:tx>
            <c:strRef>
              <c:f>'Citizen advice trends'!$C$142</c:f>
              <c:strCache>
                <c:ptCount val="1"/>
                <c:pt idx="0">
                  <c:v>Clearance or redecoration after death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trends'!$D$142:$R$142</c:f>
            </c:numRef>
          </c:val>
          <c:smooth val="0"/>
          <c:extLst>
            <c:ext xmlns:c16="http://schemas.microsoft.com/office/drawing/2014/chart" uri="{C3380CC4-5D6E-409C-BE32-E72D297353CC}">
              <c16:uniqueId val="{00000086-2373-4EEB-A496-342A1E007216}"/>
            </c:ext>
          </c:extLst>
        </c:ser>
        <c:ser>
          <c:idx val="135"/>
          <c:order val="135"/>
          <c:tx>
            <c:strRef>
              <c:f>'Citizen advice trends'!$C$143</c:f>
              <c:strCache>
                <c:ptCount val="1"/>
                <c:pt idx="0">
                  <c:v>Court representation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trends'!$D$143:$R$143</c:f>
            </c:numRef>
          </c:val>
          <c:smooth val="0"/>
          <c:extLst>
            <c:ext xmlns:c16="http://schemas.microsoft.com/office/drawing/2014/chart" uri="{C3380CC4-5D6E-409C-BE32-E72D297353CC}">
              <c16:uniqueId val="{00000087-2373-4EEB-A496-342A1E007216}"/>
            </c:ext>
          </c:extLst>
        </c:ser>
        <c:ser>
          <c:idx val="136"/>
          <c:order val="136"/>
          <c:tx>
            <c:strRef>
              <c:f>'Citizen advice trends'!$C$144</c:f>
              <c:strCache>
                <c:ptCount val="1"/>
                <c:pt idx="0">
                  <c:v>Suitability of accommodation - excl overcrowding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trends'!$D$144:$R$144</c:f>
            </c:numRef>
          </c:val>
          <c:smooth val="0"/>
          <c:extLst>
            <c:ext xmlns:c16="http://schemas.microsoft.com/office/drawing/2014/chart" uri="{C3380CC4-5D6E-409C-BE32-E72D297353CC}">
              <c16:uniqueId val="{00000088-2373-4EEB-A496-342A1E007216}"/>
            </c:ext>
          </c:extLst>
        </c:ser>
        <c:ser>
          <c:idx val="137"/>
          <c:order val="137"/>
          <c:tx>
            <c:strRef>
              <c:f>'Citizen advice trends'!$C$145</c:f>
              <c:strCache>
                <c:ptCount val="1"/>
                <c:pt idx="0">
                  <c:v>Suitability - Overcrowding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trends'!$D$145:$R$145</c:f>
            </c:numRef>
          </c:val>
          <c:smooth val="0"/>
          <c:extLst>
            <c:ext xmlns:c16="http://schemas.microsoft.com/office/drawing/2014/chart" uri="{C3380CC4-5D6E-409C-BE32-E72D297353CC}">
              <c16:uniqueId val="{00000089-2373-4EEB-A496-342A1E007216}"/>
            </c:ext>
          </c:extLst>
        </c:ser>
        <c:ser>
          <c:idx val="138"/>
          <c:order val="138"/>
          <c:tx>
            <c:strRef>
              <c:f>'Citizen advice trends'!$C$146</c:f>
              <c:strCache>
                <c:ptCount val="1"/>
                <c:pt idx="0">
                  <c:v>Security of tenure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trends'!$D$146:$R$146</c:f>
            </c:numRef>
          </c:val>
          <c:smooth val="0"/>
          <c:extLst>
            <c:ext xmlns:c16="http://schemas.microsoft.com/office/drawing/2014/chart" uri="{C3380CC4-5D6E-409C-BE32-E72D297353CC}">
              <c16:uniqueId val="{0000008A-2373-4EEB-A496-342A1E007216}"/>
            </c:ext>
          </c:extLst>
        </c:ser>
        <c:ser>
          <c:idx val="139"/>
          <c:order val="139"/>
          <c:tx>
            <c:strRef>
              <c:f>'Citizen advice trends'!$C$147</c:f>
              <c:strCache>
                <c:ptCount val="1"/>
                <c:pt idx="0">
                  <c:v>Assured tenant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trends'!$D$147:$R$147</c:f>
            </c:numRef>
          </c:val>
          <c:smooth val="0"/>
          <c:extLst>
            <c:ext xmlns:c16="http://schemas.microsoft.com/office/drawing/2014/chart" uri="{C3380CC4-5D6E-409C-BE32-E72D297353CC}">
              <c16:uniqueId val="{0000008B-2373-4EEB-A496-342A1E007216}"/>
            </c:ext>
          </c:extLst>
        </c:ser>
        <c:ser>
          <c:idx val="140"/>
          <c:order val="140"/>
          <c:tx>
            <c:strRef>
              <c:f>'Citizen advice trends'!$C$148</c:f>
              <c:strCache>
                <c:ptCount val="1"/>
                <c:pt idx="0">
                  <c:v>Assured shorthold tenant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trends'!$D$148:$R$148</c:f>
            </c:numRef>
          </c:val>
          <c:smooth val="0"/>
          <c:extLst>
            <c:ext xmlns:c16="http://schemas.microsoft.com/office/drawing/2014/chart" uri="{C3380CC4-5D6E-409C-BE32-E72D297353CC}">
              <c16:uniqueId val="{0000008C-2373-4EEB-A496-342A1E007216}"/>
            </c:ext>
          </c:extLst>
        </c:ser>
        <c:ser>
          <c:idx val="141"/>
          <c:order val="141"/>
          <c:tx>
            <c:strRef>
              <c:f>'Citizen advice trends'!$C$149</c:f>
              <c:strCache>
                <c:ptCount val="1"/>
                <c:pt idx="0">
                  <c:v>Secure tenant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trends'!$D$149:$R$149</c:f>
            </c:numRef>
          </c:val>
          <c:smooth val="0"/>
          <c:extLst>
            <c:ext xmlns:c16="http://schemas.microsoft.com/office/drawing/2014/chart" uri="{C3380CC4-5D6E-409C-BE32-E72D297353CC}">
              <c16:uniqueId val="{0000008D-2373-4EEB-A496-342A1E007216}"/>
            </c:ext>
          </c:extLst>
        </c:ser>
        <c:ser>
          <c:idx val="142"/>
          <c:order val="142"/>
          <c:tx>
            <c:strRef>
              <c:f>'Citizen advice trends'!$C$150</c:f>
              <c:strCache>
                <c:ptCount val="1"/>
                <c:pt idx="0">
                  <c:v>Excluded occupier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trends'!$D$150:$R$150</c:f>
            </c:numRef>
          </c:val>
          <c:smooth val="0"/>
          <c:extLst>
            <c:ext xmlns:c16="http://schemas.microsoft.com/office/drawing/2014/chart" uri="{C3380CC4-5D6E-409C-BE32-E72D297353CC}">
              <c16:uniqueId val="{0000008E-2373-4EEB-A496-342A1E007216}"/>
            </c:ext>
          </c:extLst>
        </c:ser>
        <c:ser>
          <c:idx val="143"/>
          <c:order val="143"/>
          <c:tx>
            <c:strRef>
              <c:f>'Citizen advice trends'!$C$151</c:f>
              <c:strCache>
                <c:ptCount val="1"/>
                <c:pt idx="0">
                  <c:v>Succession rights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trends'!$D$151:$R$151</c:f>
            </c:numRef>
          </c:val>
          <c:smooth val="0"/>
          <c:extLst>
            <c:ext xmlns:c16="http://schemas.microsoft.com/office/drawing/2014/chart" uri="{C3380CC4-5D6E-409C-BE32-E72D297353CC}">
              <c16:uniqueId val="{0000008F-2373-4EEB-A496-342A1E007216}"/>
            </c:ext>
          </c:extLst>
        </c:ser>
        <c:ser>
          <c:idx val="144"/>
          <c:order val="144"/>
          <c:tx>
            <c:strRef>
              <c:f>'Citizen advice trends'!$C$152</c:f>
              <c:strCache>
                <c:ptCount val="1"/>
                <c:pt idx="0">
                  <c:v>Shared ownership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trends'!$D$152:$R$152</c:f>
            </c:numRef>
          </c:val>
          <c:smooth val="0"/>
          <c:extLst>
            <c:ext xmlns:c16="http://schemas.microsoft.com/office/drawing/2014/chart" uri="{C3380CC4-5D6E-409C-BE32-E72D297353CC}">
              <c16:uniqueId val="{00000090-2373-4EEB-A496-342A1E007216}"/>
            </c:ext>
          </c:extLst>
        </c:ser>
        <c:ser>
          <c:idx val="145"/>
          <c:order val="145"/>
          <c:tx>
            <c:strRef>
              <c:f>'Citizen advice trends'!$C$153</c:f>
              <c:strCache>
                <c:ptCount val="1"/>
                <c:pt idx="0">
                  <c:v>EPC rating below 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trends'!$D$153:$R$153</c:f>
            </c:numRef>
          </c:val>
          <c:smooth val="0"/>
          <c:extLst>
            <c:ext xmlns:c16="http://schemas.microsoft.com/office/drawing/2014/chart" uri="{C3380CC4-5D6E-409C-BE32-E72D297353CC}">
              <c16:uniqueId val="{00000091-2373-4EEB-A496-342A1E007216}"/>
            </c:ext>
          </c:extLst>
        </c:ser>
        <c:ser>
          <c:idx val="146"/>
          <c:order val="146"/>
          <c:tx>
            <c:strRef>
              <c:f>'Citizen advice trends'!$C$154</c:f>
              <c:strCache>
                <c:ptCount val="1"/>
                <c:pt idx="0">
                  <c:v>No EPC rating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trends'!$D$154:$R$154</c:f>
            </c:numRef>
          </c:val>
          <c:smooth val="0"/>
          <c:extLst>
            <c:ext xmlns:c16="http://schemas.microsoft.com/office/drawing/2014/chart" uri="{C3380CC4-5D6E-409C-BE32-E72D297353CC}">
              <c16:uniqueId val="{00000092-2373-4EEB-A496-342A1E007216}"/>
            </c:ext>
          </c:extLst>
        </c:ser>
        <c:ser>
          <c:idx val="147"/>
          <c:order val="147"/>
          <c:tx>
            <c:strRef>
              <c:f>'Citizen advice trends'!$C$155</c:f>
              <c:strCache>
                <c:ptCount val="1"/>
                <c:pt idx="0">
                  <c:v>Lack of suitable or affordable alternatives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trends'!$D$155:$R$155</c:f>
            </c:numRef>
          </c:val>
          <c:smooth val="0"/>
          <c:extLst>
            <c:ext xmlns:c16="http://schemas.microsoft.com/office/drawing/2014/chart" uri="{C3380CC4-5D6E-409C-BE32-E72D297353CC}">
              <c16:uniqueId val="{00000093-2373-4EEB-A496-342A1E007216}"/>
            </c:ext>
          </c:extLst>
        </c:ser>
        <c:ser>
          <c:idx val="148"/>
          <c:order val="148"/>
          <c:tx>
            <c:strRef>
              <c:f>'Citizen advice trends'!$C$156</c:f>
              <c:strCache>
                <c:ptCount val="1"/>
                <c:pt idx="0">
                  <c:v>Invalid notice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trends'!$D$156:$R$156</c:f>
            </c:numRef>
          </c:val>
          <c:smooth val="0"/>
          <c:extLst>
            <c:ext xmlns:c16="http://schemas.microsoft.com/office/drawing/2014/chart" uri="{C3380CC4-5D6E-409C-BE32-E72D297353CC}">
              <c16:uniqueId val="{00000094-2373-4EEB-A496-342A1E007216}"/>
            </c:ext>
          </c:extLst>
        </c:ser>
        <c:ser>
          <c:idx val="149"/>
          <c:order val="149"/>
          <c:tx>
            <c:strRef>
              <c:f>'Citizen advice trends'!$C$157</c:f>
              <c:strCache>
                <c:ptCount val="1"/>
                <c:pt idx="0">
                  <c:v>Valid notice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trends'!$D$157:$R$157</c:f>
            </c:numRef>
          </c:val>
          <c:smooth val="0"/>
          <c:extLst>
            <c:ext xmlns:c16="http://schemas.microsoft.com/office/drawing/2014/chart" uri="{C3380CC4-5D6E-409C-BE32-E72D297353CC}">
              <c16:uniqueId val="{00000095-2373-4EEB-A496-342A1E007216}"/>
            </c:ext>
          </c:extLst>
        </c:ser>
        <c:ser>
          <c:idx val="150"/>
          <c:order val="150"/>
          <c:tx>
            <c:strRef>
              <c:f>'Citizen advice trends'!$C$158</c:f>
              <c:strCache>
                <c:ptCount val="1"/>
                <c:pt idx="0">
                  <c:v>Not recorded/not applicable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trends'!$D$158:$R$158</c:f>
            </c:numRef>
          </c:val>
          <c:smooth val="0"/>
          <c:extLst>
            <c:ext xmlns:c16="http://schemas.microsoft.com/office/drawing/2014/chart" uri="{C3380CC4-5D6E-409C-BE32-E72D297353CC}">
              <c16:uniqueId val="{00000096-2373-4EEB-A496-342A1E007216}"/>
            </c:ext>
          </c:extLst>
        </c:ser>
        <c:ser>
          <c:idx val="151"/>
          <c:order val="151"/>
          <c:tx>
            <c:strRef>
              <c:f>'Citizen advice trends'!$C$159</c:f>
              <c:strCache>
                <c:ptCount val="1"/>
                <c:pt idx="0">
                  <c:v>Possession action (not for arrears)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trends'!$D$159:$R$159</c:f>
            </c:numRef>
          </c:val>
          <c:smooth val="0"/>
          <c:extLst>
            <c:ext xmlns:c16="http://schemas.microsoft.com/office/drawing/2014/chart" uri="{C3380CC4-5D6E-409C-BE32-E72D297353CC}">
              <c16:uniqueId val="{00000097-2373-4EEB-A496-342A1E007216}"/>
            </c:ext>
          </c:extLst>
        </c:ser>
        <c:ser>
          <c:idx val="152"/>
          <c:order val="152"/>
          <c:tx>
            <c:strRef>
              <c:f>'Citizen advice trends'!$C$160</c:f>
              <c:strCache>
                <c:ptCount val="1"/>
                <c:pt idx="0">
                  <c:v>Adaptations for disabled people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trends'!$D$160:$R$160</c:f>
            </c:numRef>
          </c:val>
          <c:smooth val="0"/>
          <c:extLst>
            <c:ext xmlns:c16="http://schemas.microsoft.com/office/drawing/2014/chart" uri="{C3380CC4-5D6E-409C-BE32-E72D297353CC}">
              <c16:uniqueId val="{00000098-2373-4EEB-A496-342A1E007216}"/>
            </c:ext>
          </c:extLst>
        </c:ser>
        <c:ser>
          <c:idx val="153"/>
          <c:order val="153"/>
          <c:tx>
            <c:strRef>
              <c:f>'Citizen advice trends'!$C$161</c:f>
              <c:strCache>
                <c:ptCount val="1"/>
                <c:pt idx="0">
                  <c:v>District and communal heating systems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trends'!$D$161:$R$161</c:f>
            </c:numRef>
          </c:val>
          <c:smooth val="0"/>
          <c:extLst>
            <c:ext xmlns:c16="http://schemas.microsoft.com/office/drawing/2014/chart" uri="{C3380CC4-5D6E-409C-BE32-E72D297353CC}">
              <c16:uniqueId val="{00000099-2373-4EEB-A496-342A1E007216}"/>
            </c:ext>
          </c:extLst>
        </c:ser>
        <c:ser>
          <c:idx val="154"/>
          <c:order val="154"/>
          <c:tx>
            <c:strRef>
              <c:f>'Citizen advice trends'!$C$162</c:f>
              <c:strCache>
                <c:ptCount val="1"/>
                <c:pt idx="0">
                  <c:v>Relationship breakdown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trends'!$D$162:$R$162</c:f>
            </c:numRef>
          </c:val>
          <c:smooth val="0"/>
          <c:extLst>
            <c:ext xmlns:c16="http://schemas.microsoft.com/office/drawing/2014/chart" uri="{C3380CC4-5D6E-409C-BE32-E72D297353CC}">
              <c16:uniqueId val="{0000009A-2373-4EEB-A496-342A1E007216}"/>
            </c:ext>
          </c:extLst>
        </c:ser>
        <c:ser>
          <c:idx val="155"/>
          <c:order val="155"/>
          <c:tx>
            <c:strRef>
              <c:f>'Citizen advice trends'!$C$163</c:f>
              <c:strCache>
                <c:ptCount val="1"/>
                <c:pt idx="0">
                  <c:v>Right to buy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trends'!$D$163:$R$163</c:f>
            </c:numRef>
          </c:val>
          <c:smooth val="0"/>
          <c:extLst>
            <c:ext xmlns:c16="http://schemas.microsoft.com/office/drawing/2014/chart" uri="{C3380CC4-5D6E-409C-BE32-E72D297353CC}">
              <c16:uniqueId val="{0000009B-2373-4EEB-A496-342A1E007216}"/>
            </c:ext>
          </c:extLst>
        </c:ser>
        <c:ser>
          <c:idx val="156"/>
          <c:order val="156"/>
          <c:tx>
            <c:strRef>
              <c:f>'Citizen advice trends'!$C$164</c:f>
              <c:strCache>
                <c:ptCount val="1"/>
                <c:pt idx="0">
                  <c:v>Tenant notice requirements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trends'!$D$164:$R$164</c:f>
            </c:numRef>
          </c:val>
          <c:smooth val="0"/>
          <c:extLst>
            <c:ext xmlns:c16="http://schemas.microsoft.com/office/drawing/2014/chart" uri="{C3380CC4-5D6E-409C-BE32-E72D297353CC}">
              <c16:uniqueId val="{0000009C-2373-4EEB-A496-342A1E007216}"/>
            </c:ext>
          </c:extLst>
        </c:ser>
        <c:ser>
          <c:idx val="157"/>
          <c:order val="157"/>
          <c:tx>
            <c:strRef>
              <c:f>'Citizen advice trends'!$C$165</c:f>
              <c:strCache>
                <c:ptCount val="1"/>
                <c:pt idx="0">
                  <c:v>Charges eligible for housing related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trends'!$D$165:$R$165</c:f>
            </c:numRef>
          </c:val>
          <c:smooth val="0"/>
          <c:extLst>
            <c:ext xmlns:c16="http://schemas.microsoft.com/office/drawing/2014/chart" uri="{C3380CC4-5D6E-409C-BE32-E72D297353CC}">
              <c16:uniqueId val="{0000009D-2373-4EEB-A496-342A1E007216}"/>
            </c:ext>
          </c:extLst>
        </c:ser>
        <c:ser>
          <c:idx val="158"/>
          <c:order val="158"/>
          <c:tx>
            <c:strRef>
              <c:f>'Citizen advice trends'!$C$166</c:f>
              <c:strCache>
                <c:ptCount val="1"/>
                <c:pt idx="0">
                  <c:v>Wales Succession Rights, reserve successor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trends'!$D$166:$R$166</c:f>
            </c:numRef>
          </c:val>
          <c:smooth val="0"/>
          <c:extLst>
            <c:ext xmlns:c16="http://schemas.microsoft.com/office/drawing/2014/chart" uri="{C3380CC4-5D6E-409C-BE32-E72D297353CC}">
              <c16:uniqueId val="{0000009E-2373-4EEB-A496-342A1E007216}"/>
            </c:ext>
          </c:extLst>
        </c:ser>
        <c:ser>
          <c:idx val="159"/>
          <c:order val="159"/>
          <c:tx>
            <c:strRef>
              <c:f>'Citizen advice trends'!$C$167</c:f>
              <c:strCache>
                <c:ptCount val="1"/>
                <c:pt idx="0">
                  <c:v>Joint tenacy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trends'!$D$167:$R$167</c:f>
            </c:numRef>
          </c:val>
          <c:smooth val="0"/>
          <c:extLst>
            <c:ext xmlns:c16="http://schemas.microsoft.com/office/drawing/2014/chart" uri="{C3380CC4-5D6E-409C-BE32-E72D297353CC}">
              <c16:uniqueId val="{0000009F-2373-4EEB-A496-342A1E007216}"/>
            </c:ext>
          </c:extLst>
        </c:ser>
        <c:ser>
          <c:idx val="160"/>
          <c:order val="160"/>
          <c:tx>
            <c:strRef>
              <c:f>'Citizen advice trends'!$C$168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trends'!$D$168:$R$168</c:f>
            </c:numRef>
          </c:val>
          <c:smooth val="0"/>
          <c:extLst>
            <c:ext xmlns:c16="http://schemas.microsoft.com/office/drawing/2014/chart" uri="{C3380CC4-5D6E-409C-BE32-E72D297353CC}">
              <c16:uniqueId val="{000000A0-2373-4EEB-A496-342A1E007216}"/>
            </c:ext>
          </c:extLst>
        </c:ser>
        <c:ser>
          <c:idx val="164"/>
          <c:order val="164"/>
          <c:tx>
            <c:strRef>
              <c:f>'Citizen advice trends'!$C$172</c:f>
              <c:strCache>
                <c:ptCount val="1"/>
                <c:pt idx="0">
                  <c:v>Rent increases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trends'!$D$172:$R$172</c:f>
              <c:numCache>
                <c:formatCode>General</c:formatCode>
                <c:ptCount val="15"/>
                <c:pt idx="0">
                  <c:v>137</c:v>
                </c:pt>
                <c:pt idx="1">
                  <c:v>138</c:v>
                </c:pt>
                <c:pt idx="2">
                  <c:v>110</c:v>
                </c:pt>
                <c:pt idx="3">
                  <c:v>105</c:v>
                </c:pt>
                <c:pt idx="4">
                  <c:v>75</c:v>
                </c:pt>
                <c:pt idx="5">
                  <c:v>120</c:v>
                </c:pt>
                <c:pt idx="6">
                  <c:v>88</c:v>
                </c:pt>
                <c:pt idx="7">
                  <c:v>81</c:v>
                </c:pt>
                <c:pt idx="8">
                  <c:v>110</c:v>
                </c:pt>
                <c:pt idx="9">
                  <c:v>86</c:v>
                </c:pt>
                <c:pt idx="10">
                  <c:v>89</c:v>
                </c:pt>
                <c:pt idx="11">
                  <c:v>81</c:v>
                </c:pt>
                <c:pt idx="12">
                  <c:v>107</c:v>
                </c:pt>
                <c:pt idx="13">
                  <c:v>97</c:v>
                </c:pt>
                <c:pt idx="14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2373-4EEB-A496-342A1E007216}"/>
            </c:ext>
          </c:extLst>
        </c:ser>
        <c:ser>
          <c:idx val="166"/>
          <c:order val="166"/>
          <c:tx>
            <c:strRef>
              <c:f>'Citizen advice trends'!$C$174</c:f>
              <c:strCache>
                <c:ptCount val="1"/>
                <c:pt idx="0">
                  <c:v>Disrepair - damp/mould/condensation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trends'!$D$174:$R$174</c:f>
              <c:numCache>
                <c:formatCode>General</c:formatCode>
                <c:ptCount val="15"/>
                <c:pt idx="0">
                  <c:v>201</c:v>
                </c:pt>
                <c:pt idx="1">
                  <c:v>149</c:v>
                </c:pt>
                <c:pt idx="2">
                  <c:v>155</c:v>
                </c:pt>
                <c:pt idx="3">
                  <c:v>103</c:v>
                </c:pt>
                <c:pt idx="4">
                  <c:v>124</c:v>
                </c:pt>
                <c:pt idx="5">
                  <c:v>122</c:v>
                </c:pt>
                <c:pt idx="6">
                  <c:v>103</c:v>
                </c:pt>
                <c:pt idx="7">
                  <c:v>93</c:v>
                </c:pt>
                <c:pt idx="8">
                  <c:v>131</c:v>
                </c:pt>
                <c:pt idx="9">
                  <c:v>104</c:v>
                </c:pt>
                <c:pt idx="10">
                  <c:v>124</c:v>
                </c:pt>
                <c:pt idx="11">
                  <c:v>121</c:v>
                </c:pt>
                <c:pt idx="12">
                  <c:v>157</c:v>
                </c:pt>
                <c:pt idx="13">
                  <c:v>167</c:v>
                </c:pt>
                <c:pt idx="14">
                  <c:v>142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A6-2373-4EEB-A496-342A1E007216}"/>
            </c:ext>
          </c:extLst>
        </c:ser>
        <c:ser>
          <c:idx val="180"/>
          <c:order val="180"/>
          <c:tx>
            <c:strRef>
              <c:f>'Citizen advice trends'!$C$188</c:f>
              <c:strCache>
                <c:ptCount val="1"/>
                <c:pt idx="0">
                  <c:v>Guarantor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trends'!$D$188:$R$188</c:f>
              <c:numCache>
                <c:formatCode>General</c:formatCode>
                <c:ptCount val="15"/>
                <c:pt idx="0">
                  <c:v>10</c:v>
                </c:pt>
                <c:pt idx="1">
                  <c:v>7</c:v>
                </c:pt>
                <c:pt idx="2">
                  <c:v>12</c:v>
                </c:pt>
                <c:pt idx="3">
                  <c:v>9</c:v>
                </c:pt>
                <c:pt idx="4">
                  <c:v>10</c:v>
                </c:pt>
                <c:pt idx="5">
                  <c:v>15</c:v>
                </c:pt>
                <c:pt idx="6">
                  <c:v>11</c:v>
                </c:pt>
                <c:pt idx="7">
                  <c:v>10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6</c:v>
                </c:pt>
                <c:pt idx="12">
                  <c:v>15</c:v>
                </c:pt>
                <c:pt idx="13">
                  <c:v>8</c:v>
                </c:pt>
                <c:pt idx="1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2373-4EEB-A496-342A1E007216}"/>
            </c:ext>
          </c:extLst>
        </c:ser>
        <c:ser>
          <c:idx val="198"/>
          <c:order val="198"/>
          <c:tx>
            <c:strRef>
              <c:f>'Citizen advice trends'!$C$206</c:f>
              <c:strCache>
                <c:ptCount val="1"/>
                <c:pt idx="0">
                  <c:v>Possession/eviction - landlord mortgage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trends'!$D$206:$R$206</c:f>
              <c:numCache>
                <c:formatCode>General</c:formatCode>
                <c:ptCount val="15"/>
                <c:pt idx="0">
                  <c:v>9</c:v>
                </c:pt>
                <c:pt idx="1">
                  <c:v>12</c:v>
                </c:pt>
                <c:pt idx="2">
                  <c:v>12</c:v>
                </c:pt>
                <c:pt idx="3">
                  <c:v>6</c:v>
                </c:pt>
                <c:pt idx="4">
                  <c:v>4</c:v>
                </c:pt>
                <c:pt idx="5">
                  <c:v>9</c:v>
                </c:pt>
                <c:pt idx="6">
                  <c:v>3</c:v>
                </c:pt>
                <c:pt idx="7">
                  <c:v>11</c:v>
                </c:pt>
                <c:pt idx="8">
                  <c:v>9</c:v>
                </c:pt>
                <c:pt idx="9">
                  <c:v>7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2373-4EEB-A496-342A1E007216}"/>
            </c:ext>
          </c:extLst>
        </c:ser>
        <c:ser>
          <c:idx val="199"/>
          <c:order val="199"/>
          <c:tx>
            <c:strRef>
              <c:f>'Citizen advice trends'!$C$207</c:f>
              <c:strCache>
                <c:ptCount val="1"/>
                <c:pt idx="0">
                  <c:v>Possession action with arrears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'Citizen advice trends'!$D$7:$R$7</c:f>
              <c:numCache>
                <c:formatCode>m/d/yy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'Citizen advice trends'!$D$207:$R$207</c:f>
              <c:numCache>
                <c:formatCode>General</c:formatCode>
                <c:ptCount val="15"/>
                <c:pt idx="0">
                  <c:v>37</c:v>
                </c:pt>
                <c:pt idx="1">
                  <c:v>41</c:v>
                </c:pt>
                <c:pt idx="2">
                  <c:v>37</c:v>
                </c:pt>
                <c:pt idx="3">
                  <c:v>40</c:v>
                </c:pt>
                <c:pt idx="4">
                  <c:v>35</c:v>
                </c:pt>
                <c:pt idx="5">
                  <c:v>41</c:v>
                </c:pt>
                <c:pt idx="6">
                  <c:v>41</c:v>
                </c:pt>
                <c:pt idx="7">
                  <c:v>30</c:v>
                </c:pt>
                <c:pt idx="8">
                  <c:v>39</c:v>
                </c:pt>
                <c:pt idx="9">
                  <c:v>34</c:v>
                </c:pt>
                <c:pt idx="10">
                  <c:v>44</c:v>
                </c:pt>
                <c:pt idx="11">
                  <c:v>32</c:v>
                </c:pt>
                <c:pt idx="12">
                  <c:v>37</c:v>
                </c:pt>
                <c:pt idx="13">
                  <c:v>39</c:v>
                </c:pt>
                <c:pt idx="14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2373-4EEB-A496-342A1E007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4344520"/>
        <c:axId val="1124331560"/>
        <c:extLst>
          <c:ext xmlns:c15="http://schemas.microsoft.com/office/drawing/2012/chart" uri="{02D57815-91ED-43cb-92C2-25804820EDAC}">
            <c15:filteredLineSeries>
              <c15:ser>
                <c:idx val="161"/>
                <c:order val="161"/>
                <c:tx>
                  <c:strRef>
                    <c:extLst>
                      <c:ext uri="{02D57815-91ED-43cb-92C2-25804820EDAC}">
                        <c15:formulaRef>
                          <c15:sqref>'Citizen advice trends'!$C$169</c15:sqref>
                        </c15:formulaRef>
                      </c:ext>
                    </c:extLst>
                    <c:strCache>
                      <c:ptCount val="1"/>
                      <c:pt idx="0">
                        <c:v>Letting agent charges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50000"/>
                        <a:lumOff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'Citizen advice trends'!$D$169:$R$169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12</c:v>
                      </c:pt>
                      <c:pt idx="1">
                        <c:v>15</c:v>
                      </c:pt>
                      <c:pt idx="2">
                        <c:v>9</c:v>
                      </c:pt>
                      <c:pt idx="3">
                        <c:v>9</c:v>
                      </c:pt>
                      <c:pt idx="4">
                        <c:v>12</c:v>
                      </c:pt>
                      <c:pt idx="5">
                        <c:v>16</c:v>
                      </c:pt>
                      <c:pt idx="6">
                        <c:v>13</c:v>
                      </c:pt>
                      <c:pt idx="7">
                        <c:v>10</c:v>
                      </c:pt>
                      <c:pt idx="8">
                        <c:v>11</c:v>
                      </c:pt>
                      <c:pt idx="9">
                        <c:v>12</c:v>
                      </c:pt>
                      <c:pt idx="10">
                        <c:v>22</c:v>
                      </c:pt>
                      <c:pt idx="11">
                        <c:v>11</c:v>
                      </c:pt>
                      <c:pt idx="12">
                        <c:v>10</c:v>
                      </c:pt>
                      <c:pt idx="13">
                        <c:v>9</c:v>
                      </c:pt>
                      <c:pt idx="14">
                        <c:v>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A1-2373-4EEB-A496-342A1E007216}"/>
                  </c:ext>
                </c:extLst>
              </c15:ser>
            </c15:filteredLineSeries>
            <c15:filteredLineSeries>
              <c15:ser>
                <c:idx val="162"/>
                <c:order val="16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trends'!$C$170</c15:sqref>
                        </c15:formulaRef>
                      </c:ext>
                    </c:extLst>
                    <c:strCache>
                      <c:ptCount val="1"/>
                      <c:pt idx="0">
                        <c:v>Fitness for Human Habitation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trends'!$D$170:$R$170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46</c:v>
                      </c:pt>
                      <c:pt idx="1">
                        <c:v>42</c:v>
                      </c:pt>
                      <c:pt idx="2">
                        <c:v>32</c:v>
                      </c:pt>
                      <c:pt idx="3">
                        <c:v>35</c:v>
                      </c:pt>
                      <c:pt idx="4">
                        <c:v>38</c:v>
                      </c:pt>
                      <c:pt idx="5">
                        <c:v>31</c:v>
                      </c:pt>
                      <c:pt idx="6">
                        <c:v>42</c:v>
                      </c:pt>
                      <c:pt idx="7">
                        <c:v>28</c:v>
                      </c:pt>
                      <c:pt idx="8">
                        <c:v>27</c:v>
                      </c:pt>
                      <c:pt idx="9">
                        <c:v>37</c:v>
                      </c:pt>
                      <c:pt idx="10">
                        <c:v>38</c:v>
                      </c:pt>
                      <c:pt idx="11">
                        <c:v>40</c:v>
                      </c:pt>
                      <c:pt idx="12">
                        <c:v>51</c:v>
                      </c:pt>
                      <c:pt idx="13">
                        <c:v>49</c:v>
                      </c:pt>
                      <c:pt idx="14">
                        <c:v>47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2-2373-4EEB-A496-342A1E007216}"/>
                  </c:ext>
                </c:extLst>
              </c15:ser>
            </c15:filteredLineSeries>
            <c15:filteredLineSeries>
              <c15:ser>
                <c:idx val="163"/>
                <c:order val="16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trends'!$C$171</c15:sqref>
                        </c15:formulaRef>
                      </c:ext>
                    </c:extLst>
                    <c:strCache>
                      <c:ptCount val="1"/>
                      <c:pt idx="0">
                        <c:v>Water charges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trends'!$D$171:$R$171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4</c:v>
                      </c:pt>
                      <c:pt idx="1">
                        <c:v>9</c:v>
                      </c:pt>
                      <c:pt idx="2">
                        <c:v>9</c:v>
                      </c:pt>
                      <c:pt idx="3">
                        <c:v>7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10</c:v>
                      </c:pt>
                      <c:pt idx="7">
                        <c:v>5</c:v>
                      </c:pt>
                      <c:pt idx="8">
                        <c:v>5</c:v>
                      </c:pt>
                      <c:pt idx="9">
                        <c:v>12</c:v>
                      </c:pt>
                      <c:pt idx="10">
                        <c:v>10</c:v>
                      </c:pt>
                      <c:pt idx="11">
                        <c:v>1</c:v>
                      </c:pt>
                      <c:pt idx="12">
                        <c:v>4</c:v>
                      </c:pt>
                      <c:pt idx="13">
                        <c:v>9</c:v>
                      </c:pt>
                      <c:pt idx="14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3-2373-4EEB-A496-342A1E007216}"/>
                  </c:ext>
                </c:extLst>
              </c15:ser>
            </c15:filteredLineSeries>
            <c15:filteredLineSeries>
              <c15:ser>
                <c:idx val="165"/>
                <c:order val="16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trends'!$C$173</c15:sqref>
                        </c15:formulaRef>
                      </c:ext>
                    </c:extLst>
                    <c:strCache>
                      <c:ptCount val="1"/>
                      <c:pt idx="0">
                        <c:v>Other charges and rent issues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trends'!$D$173:$R$173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43</c:v>
                      </c:pt>
                      <c:pt idx="1">
                        <c:v>55</c:v>
                      </c:pt>
                      <c:pt idx="2">
                        <c:v>37</c:v>
                      </c:pt>
                      <c:pt idx="3">
                        <c:v>40</c:v>
                      </c:pt>
                      <c:pt idx="4">
                        <c:v>35</c:v>
                      </c:pt>
                      <c:pt idx="5">
                        <c:v>41</c:v>
                      </c:pt>
                      <c:pt idx="6">
                        <c:v>50</c:v>
                      </c:pt>
                      <c:pt idx="7">
                        <c:v>35</c:v>
                      </c:pt>
                      <c:pt idx="8">
                        <c:v>23</c:v>
                      </c:pt>
                      <c:pt idx="9">
                        <c:v>42</c:v>
                      </c:pt>
                      <c:pt idx="10">
                        <c:v>42</c:v>
                      </c:pt>
                      <c:pt idx="11">
                        <c:v>33</c:v>
                      </c:pt>
                      <c:pt idx="12">
                        <c:v>52</c:v>
                      </c:pt>
                      <c:pt idx="13">
                        <c:v>49</c:v>
                      </c:pt>
                      <c:pt idx="14">
                        <c:v>36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5-2373-4EEB-A496-342A1E007216}"/>
                  </c:ext>
                </c:extLst>
              </c15:ser>
            </c15:filteredLineSeries>
            <c15:filteredLineSeries>
              <c15:ser>
                <c:idx val="167"/>
                <c:order val="16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trends'!$C$175</c15:sqref>
                        </c15:formulaRef>
                      </c:ext>
                    </c:extLst>
                    <c:strCache>
                      <c:ptCount val="1"/>
                      <c:pt idx="0">
                        <c:v>Disrepair/Maintenance - non damp/mould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trends'!$D$175:$R$175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127</c:v>
                      </c:pt>
                      <c:pt idx="1">
                        <c:v>103</c:v>
                      </c:pt>
                      <c:pt idx="2">
                        <c:v>83</c:v>
                      </c:pt>
                      <c:pt idx="3">
                        <c:v>106</c:v>
                      </c:pt>
                      <c:pt idx="4">
                        <c:v>96</c:v>
                      </c:pt>
                      <c:pt idx="5">
                        <c:v>99</c:v>
                      </c:pt>
                      <c:pt idx="6">
                        <c:v>109</c:v>
                      </c:pt>
                      <c:pt idx="7">
                        <c:v>81</c:v>
                      </c:pt>
                      <c:pt idx="8">
                        <c:v>119</c:v>
                      </c:pt>
                      <c:pt idx="9">
                        <c:v>152</c:v>
                      </c:pt>
                      <c:pt idx="10">
                        <c:v>142</c:v>
                      </c:pt>
                      <c:pt idx="11">
                        <c:v>138</c:v>
                      </c:pt>
                      <c:pt idx="12">
                        <c:v>192</c:v>
                      </c:pt>
                      <c:pt idx="13">
                        <c:v>170</c:v>
                      </c:pt>
                      <c:pt idx="14">
                        <c:v>180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7-2373-4EEB-A496-342A1E007216}"/>
                  </c:ext>
                </c:extLst>
              </c15:ser>
            </c15:filteredLineSeries>
            <c15:filteredLineSeries>
              <c15:ser>
                <c:idx val="168"/>
                <c:order val="16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trends'!$C$176</c15:sqref>
                        </c15:formulaRef>
                      </c:ext>
                    </c:extLst>
                    <c:strCache>
                      <c:ptCount val="1"/>
                      <c:pt idx="0">
                        <c:v>Court costs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trends'!$D$176:$R$176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10</c:v>
                      </c:pt>
                      <c:pt idx="1">
                        <c:v>16</c:v>
                      </c:pt>
                      <c:pt idx="2">
                        <c:v>14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17</c:v>
                      </c:pt>
                      <c:pt idx="6">
                        <c:v>21</c:v>
                      </c:pt>
                      <c:pt idx="7">
                        <c:v>16</c:v>
                      </c:pt>
                      <c:pt idx="8">
                        <c:v>19</c:v>
                      </c:pt>
                      <c:pt idx="9">
                        <c:v>16</c:v>
                      </c:pt>
                      <c:pt idx="10">
                        <c:v>16</c:v>
                      </c:pt>
                      <c:pt idx="11">
                        <c:v>15</c:v>
                      </c:pt>
                      <c:pt idx="12">
                        <c:v>10</c:v>
                      </c:pt>
                      <c:pt idx="13">
                        <c:v>11</c:v>
                      </c:pt>
                      <c:pt idx="14">
                        <c:v>20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8-2373-4EEB-A496-342A1E007216}"/>
                  </c:ext>
                </c:extLst>
              </c15:ser>
            </c15:filteredLineSeries>
            <c15:filteredLineSeries>
              <c15:ser>
                <c:idx val="169"/>
                <c:order val="16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trends'!$C$177</c15:sqref>
                        </c15:formulaRef>
                      </c:ext>
                    </c:extLst>
                    <c:strCache>
                      <c:ptCount val="1"/>
                      <c:pt idx="0">
                        <c:v>Court representation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trends'!$D$177:$R$177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9</c:v>
                      </c:pt>
                      <c:pt idx="1">
                        <c:v>12</c:v>
                      </c:pt>
                      <c:pt idx="2">
                        <c:v>4</c:v>
                      </c:pt>
                      <c:pt idx="3">
                        <c:v>11</c:v>
                      </c:pt>
                      <c:pt idx="4">
                        <c:v>17</c:v>
                      </c:pt>
                      <c:pt idx="5">
                        <c:v>9</c:v>
                      </c:pt>
                      <c:pt idx="6">
                        <c:v>14</c:v>
                      </c:pt>
                      <c:pt idx="7">
                        <c:v>9</c:v>
                      </c:pt>
                      <c:pt idx="8">
                        <c:v>12</c:v>
                      </c:pt>
                      <c:pt idx="9">
                        <c:v>12</c:v>
                      </c:pt>
                      <c:pt idx="10">
                        <c:v>11</c:v>
                      </c:pt>
                      <c:pt idx="11">
                        <c:v>10</c:v>
                      </c:pt>
                      <c:pt idx="12">
                        <c:v>10</c:v>
                      </c:pt>
                      <c:pt idx="13">
                        <c:v>19</c:v>
                      </c:pt>
                      <c:pt idx="14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9-2373-4EEB-A496-342A1E007216}"/>
                  </c:ext>
                </c:extLst>
              </c15:ser>
            </c15:filteredLineSeries>
            <c15:filteredLineSeries>
              <c15:ser>
                <c:idx val="170"/>
                <c:order val="17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trends'!$C$178</c15:sqref>
                        </c15:formulaRef>
                      </c:ext>
                    </c:extLst>
                    <c:strCache>
                      <c:ptCount val="1"/>
                      <c:pt idx="0">
                        <c:v>Suitability of accommodation - excl overcrowding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trends'!$D$178:$R$178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124</c:v>
                      </c:pt>
                      <c:pt idx="1">
                        <c:v>83</c:v>
                      </c:pt>
                      <c:pt idx="2">
                        <c:v>89</c:v>
                      </c:pt>
                      <c:pt idx="3">
                        <c:v>31</c:v>
                      </c:pt>
                      <c:pt idx="4">
                        <c:v>60</c:v>
                      </c:pt>
                      <c:pt idx="5">
                        <c:v>56</c:v>
                      </c:pt>
                      <c:pt idx="6">
                        <c:v>55</c:v>
                      </c:pt>
                      <c:pt idx="7">
                        <c:v>54</c:v>
                      </c:pt>
                      <c:pt idx="8">
                        <c:v>67</c:v>
                      </c:pt>
                      <c:pt idx="9">
                        <c:v>69</c:v>
                      </c:pt>
                      <c:pt idx="10">
                        <c:v>67</c:v>
                      </c:pt>
                      <c:pt idx="11">
                        <c:v>57</c:v>
                      </c:pt>
                      <c:pt idx="12">
                        <c:v>82</c:v>
                      </c:pt>
                      <c:pt idx="13">
                        <c:v>90</c:v>
                      </c:pt>
                      <c:pt idx="14">
                        <c:v>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A-2373-4EEB-A496-342A1E007216}"/>
                  </c:ext>
                </c:extLst>
              </c15:ser>
            </c15:filteredLineSeries>
            <c15:filteredLineSeries>
              <c15:ser>
                <c:idx val="171"/>
                <c:order val="17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trends'!$C$179</c15:sqref>
                        </c15:formulaRef>
                      </c:ext>
                    </c:extLst>
                    <c:strCache>
                      <c:ptCount val="1"/>
                      <c:pt idx="0">
                        <c:v>Suitability - Overcrowding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trends'!$D$179:$R$179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3">
                        <c:v>18</c:v>
                      </c:pt>
                      <c:pt idx="4">
                        <c:v>30</c:v>
                      </c:pt>
                      <c:pt idx="5">
                        <c:v>38</c:v>
                      </c:pt>
                      <c:pt idx="6">
                        <c:v>30</c:v>
                      </c:pt>
                      <c:pt idx="7">
                        <c:v>20</c:v>
                      </c:pt>
                      <c:pt idx="8">
                        <c:v>31</c:v>
                      </c:pt>
                      <c:pt idx="9">
                        <c:v>40</c:v>
                      </c:pt>
                      <c:pt idx="10">
                        <c:v>30</c:v>
                      </c:pt>
                      <c:pt idx="11">
                        <c:v>30</c:v>
                      </c:pt>
                      <c:pt idx="12">
                        <c:v>33</c:v>
                      </c:pt>
                      <c:pt idx="13">
                        <c:v>32</c:v>
                      </c:pt>
                      <c:pt idx="14">
                        <c:v>45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B-2373-4EEB-A496-342A1E007216}"/>
                  </c:ext>
                </c:extLst>
              </c15:ser>
            </c15:filteredLineSeries>
            <c15:filteredLineSeries>
              <c15:ser>
                <c:idx val="172"/>
                <c:order val="17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trends'!$C$180</c15:sqref>
                        </c15:formulaRef>
                      </c:ext>
                    </c:extLst>
                    <c:strCache>
                      <c:ptCount val="1"/>
                      <c:pt idx="0">
                        <c:v>Security of tenure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trends'!$D$180:$R$180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29</c:v>
                      </c:pt>
                      <c:pt idx="1">
                        <c:v>32</c:v>
                      </c:pt>
                      <c:pt idx="2">
                        <c:v>33</c:v>
                      </c:pt>
                      <c:pt idx="3">
                        <c:v>27</c:v>
                      </c:pt>
                      <c:pt idx="4">
                        <c:v>25</c:v>
                      </c:pt>
                      <c:pt idx="5">
                        <c:v>28</c:v>
                      </c:pt>
                      <c:pt idx="6">
                        <c:v>24</c:v>
                      </c:pt>
                      <c:pt idx="7">
                        <c:v>26</c:v>
                      </c:pt>
                      <c:pt idx="8">
                        <c:v>33</c:v>
                      </c:pt>
                      <c:pt idx="9">
                        <c:v>34</c:v>
                      </c:pt>
                      <c:pt idx="10">
                        <c:v>28</c:v>
                      </c:pt>
                      <c:pt idx="11">
                        <c:v>21</c:v>
                      </c:pt>
                      <c:pt idx="12">
                        <c:v>35</c:v>
                      </c:pt>
                      <c:pt idx="13">
                        <c:v>38</c:v>
                      </c:pt>
                      <c:pt idx="14">
                        <c:v>51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C-2373-4EEB-A496-342A1E007216}"/>
                  </c:ext>
                </c:extLst>
              </c15:ser>
            </c15:filteredLineSeries>
            <c15:filteredLineSeries>
              <c15:ser>
                <c:idx val="173"/>
                <c:order val="17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trends'!$C$181</c15:sqref>
                        </c15:formulaRef>
                      </c:ext>
                    </c:extLst>
                    <c:strCache>
                      <c:ptCount val="1"/>
                      <c:pt idx="0">
                        <c:v>Assured tenant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trends'!$D$181:$R$181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7</c:v>
                      </c:pt>
                      <c:pt idx="1">
                        <c:v>11</c:v>
                      </c:pt>
                      <c:pt idx="2">
                        <c:v>6</c:v>
                      </c:pt>
                      <c:pt idx="3">
                        <c:v>5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5</c:v>
                      </c:pt>
                      <c:pt idx="9">
                        <c:v>10</c:v>
                      </c:pt>
                      <c:pt idx="10">
                        <c:v>10</c:v>
                      </c:pt>
                      <c:pt idx="11">
                        <c:v>6</c:v>
                      </c:pt>
                      <c:pt idx="12">
                        <c:v>14</c:v>
                      </c:pt>
                      <c:pt idx="13">
                        <c:v>12</c:v>
                      </c:pt>
                      <c:pt idx="14">
                        <c:v>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D-2373-4EEB-A496-342A1E007216}"/>
                  </c:ext>
                </c:extLst>
              </c15:ser>
            </c15:filteredLineSeries>
            <c15:filteredLineSeries>
              <c15:ser>
                <c:idx val="174"/>
                <c:order val="17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trends'!$C$182</c15:sqref>
                        </c15:formulaRef>
                      </c:ext>
                    </c:extLst>
                    <c:strCache>
                      <c:ptCount val="1"/>
                      <c:pt idx="0">
                        <c:v>Assured shorthold tenant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trends'!$D$182:$R$182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165</c:v>
                      </c:pt>
                      <c:pt idx="1">
                        <c:v>146</c:v>
                      </c:pt>
                      <c:pt idx="2">
                        <c:v>134</c:v>
                      </c:pt>
                      <c:pt idx="3">
                        <c:v>130</c:v>
                      </c:pt>
                      <c:pt idx="4">
                        <c:v>127</c:v>
                      </c:pt>
                      <c:pt idx="5">
                        <c:v>139</c:v>
                      </c:pt>
                      <c:pt idx="6">
                        <c:v>142</c:v>
                      </c:pt>
                      <c:pt idx="7">
                        <c:v>131</c:v>
                      </c:pt>
                      <c:pt idx="8">
                        <c:v>136</c:v>
                      </c:pt>
                      <c:pt idx="9">
                        <c:v>154</c:v>
                      </c:pt>
                      <c:pt idx="10">
                        <c:v>152</c:v>
                      </c:pt>
                      <c:pt idx="11">
                        <c:v>112</c:v>
                      </c:pt>
                      <c:pt idx="12">
                        <c:v>154</c:v>
                      </c:pt>
                      <c:pt idx="13">
                        <c:v>168</c:v>
                      </c:pt>
                      <c:pt idx="14">
                        <c:v>163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E-2373-4EEB-A496-342A1E007216}"/>
                  </c:ext>
                </c:extLst>
              </c15:ser>
            </c15:filteredLineSeries>
            <c15:filteredLineSeries>
              <c15:ser>
                <c:idx val="175"/>
                <c:order val="17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trends'!$C$183</c15:sqref>
                        </c15:formulaRef>
                      </c:ext>
                    </c:extLst>
                    <c:strCache>
                      <c:ptCount val="1"/>
                      <c:pt idx="0">
                        <c:v>Protected/regulated tenant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trends'!$D$183:$R$183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4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7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2</c:v>
                      </c:pt>
                      <c:pt idx="7">
                        <c:v>6</c:v>
                      </c:pt>
                      <c:pt idx="8">
                        <c:v>2</c:v>
                      </c:pt>
                      <c:pt idx="9">
                        <c:v>5</c:v>
                      </c:pt>
                      <c:pt idx="10">
                        <c:v>3</c:v>
                      </c:pt>
                      <c:pt idx="11">
                        <c:v>2</c:v>
                      </c:pt>
                      <c:pt idx="12">
                        <c:v>7</c:v>
                      </c:pt>
                      <c:pt idx="13">
                        <c:v>4</c:v>
                      </c:pt>
                      <c:pt idx="14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AF-2373-4EEB-A496-342A1E007216}"/>
                  </c:ext>
                </c:extLst>
              </c15:ser>
            </c15:filteredLineSeries>
            <c15:filteredLineSeries>
              <c15:ser>
                <c:idx val="176"/>
                <c:order val="17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trends'!$C$184</c15:sqref>
                        </c15:formulaRef>
                      </c:ext>
                    </c:extLst>
                    <c:strCache>
                      <c:ptCount val="1"/>
                      <c:pt idx="0">
                        <c:v>Occupier with basic protection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trends'!$D$184:$R$184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7</c:v>
                      </c:pt>
                      <c:pt idx="1">
                        <c:v>10</c:v>
                      </c:pt>
                      <c:pt idx="2">
                        <c:v>13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9</c:v>
                      </c:pt>
                      <c:pt idx="6">
                        <c:v>11</c:v>
                      </c:pt>
                      <c:pt idx="7">
                        <c:v>10</c:v>
                      </c:pt>
                      <c:pt idx="8">
                        <c:v>10</c:v>
                      </c:pt>
                      <c:pt idx="9">
                        <c:v>9</c:v>
                      </c:pt>
                      <c:pt idx="10">
                        <c:v>13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4</c:v>
                      </c:pt>
                      <c:pt idx="14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0-2373-4EEB-A496-342A1E007216}"/>
                  </c:ext>
                </c:extLst>
              </c15:ser>
            </c15:filteredLineSeries>
            <c15:filteredLineSeries>
              <c15:ser>
                <c:idx val="177"/>
                <c:order val="17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trends'!$C$185</c15:sqref>
                        </c15:formulaRef>
                      </c:ext>
                    </c:extLst>
                    <c:strCache>
                      <c:ptCount val="1"/>
                      <c:pt idx="0">
                        <c:v>Excluded occupier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trends'!$D$185:$R$185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16</c:v>
                      </c:pt>
                      <c:pt idx="1">
                        <c:v>15</c:v>
                      </c:pt>
                      <c:pt idx="2">
                        <c:v>16</c:v>
                      </c:pt>
                      <c:pt idx="3">
                        <c:v>17</c:v>
                      </c:pt>
                      <c:pt idx="4">
                        <c:v>13</c:v>
                      </c:pt>
                      <c:pt idx="5">
                        <c:v>18</c:v>
                      </c:pt>
                      <c:pt idx="6">
                        <c:v>13</c:v>
                      </c:pt>
                      <c:pt idx="7">
                        <c:v>14</c:v>
                      </c:pt>
                      <c:pt idx="8">
                        <c:v>15</c:v>
                      </c:pt>
                      <c:pt idx="9">
                        <c:v>27</c:v>
                      </c:pt>
                      <c:pt idx="10">
                        <c:v>14</c:v>
                      </c:pt>
                      <c:pt idx="11">
                        <c:v>10</c:v>
                      </c:pt>
                      <c:pt idx="12">
                        <c:v>14</c:v>
                      </c:pt>
                      <c:pt idx="13">
                        <c:v>15</c:v>
                      </c:pt>
                      <c:pt idx="14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1-2373-4EEB-A496-342A1E007216}"/>
                  </c:ext>
                </c:extLst>
              </c15:ser>
            </c15:filteredLineSeries>
            <c15:filteredLineSeries>
              <c15:ser>
                <c:idx val="178"/>
                <c:order val="17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trends'!$C$186</c15:sqref>
                        </c15:formulaRef>
                      </c:ext>
                    </c:extLst>
                    <c:strCache>
                      <c:ptCount val="1"/>
                      <c:pt idx="0">
                        <c:v>Trespasser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trends'!$D$186:$R$186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4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0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5</c:v>
                      </c:pt>
                      <c:pt idx="10">
                        <c:v>2</c:v>
                      </c:pt>
                      <c:pt idx="11">
                        <c:v>3</c:v>
                      </c:pt>
                      <c:pt idx="12">
                        <c:v>2</c:v>
                      </c:pt>
                      <c:pt idx="13">
                        <c:v>6</c:v>
                      </c:pt>
                      <c:pt idx="14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2-2373-4EEB-A496-342A1E007216}"/>
                  </c:ext>
                </c:extLst>
              </c15:ser>
            </c15:filteredLineSeries>
            <c15:filteredLineSeries>
              <c15:ser>
                <c:idx val="179"/>
                <c:order val="17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trends'!$C$187</c15:sqref>
                        </c15:formulaRef>
                      </c:ext>
                    </c:extLst>
                    <c:strCache>
                      <c:ptCount val="1"/>
                      <c:pt idx="0">
                        <c:v>Problems with letting agencies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trends'!$D$187:$R$187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40</c:v>
                      </c:pt>
                      <c:pt idx="1">
                        <c:v>50</c:v>
                      </c:pt>
                      <c:pt idx="2">
                        <c:v>41</c:v>
                      </c:pt>
                      <c:pt idx="3">
                        <c:v>35</c:v>
                      </c:pt>
                      <c:pt idx="4">
                        <c:v>46</c:v>
                      </c:pt>
                      <c:pt idx="5">
                        <c:v>53</c:v>
                      </c:pt>
                      <c:pt idx="6">
                        <c:v>49</c:v>
                      </c:pt>
                      <c:pt idx="7">
                        <c:v>38</c:v>
                      </c:pt>
                      <c:pt idx="8">
                        <c:v>44</c:v>
                      </c:pt>
                      <c:pt idx="9">
                        <c:v>42</c:v>
                      </c:pt>
                      <c:pt idx="10">
                        <c:v>50</c:v>
                      </c:pt>
                      <c:pt idx="11">
                        <c:v>32</c:v>
                      </c:pt>
                      <c:pt idx="12">
                        <c:v>44</c:v>
                      </c:pt>
                      <c:pt idx="13">
                        <c:v>42</c:v>
                      </c:pt>
                      <c:pt idx="14">
                        <c:v>48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3-2373-4EEB-A496-342A1E007216}"/>
                  </c:ext>
                </c:extLst>
              </c15:ser>
            </c15:filteredLineSeries>
            <c15:filteredLineSeries>
              <c15:ser>
                <c:idx val="181"/>
                <c:order val="18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trends'!$C$189</c15:sqref>
                        </c15:formulaRef>
                      </c:ext>
                    </c:extLst>
                    <c:strCache>
                      <c:ptCount val="1"/>
                      <c:pt idx="0">
                        <c:v>Annual gas safety check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trends'!$D$189:$R$189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15</c:v>
                      </c:pt>
                      <c:pt idx="1">
                        <c:v>9</c:v>
                      </c:pt>
                      <c:pt idx="2">
                        <c:v>13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12</c:v>
                      </c:pt>
                      <c:pt idx="6">
                        <c:v>29</c:v>
                      </c:pt>
                      <c:pt idx="7">
                        <c:v>4</c:v>
                      </c:pt>
                      <c:pt idx="8">
                        <c:v>7</c:v>
                      </c:pt>
                      <c:pt idx="9">
                        <c:v>9</c:v>
                      </c:pt>
                      <c:pt idx="10">
                        <c:v>8</c:v>
                      </c:pt>
                      <c:pt idx="11">
                        <c:v>9</c:v>
                      </c:pt>
                      <c:pt idx="12">
                        <c:v>13</c:v>
                      </c:pt>
                      <c:pt idx="13">
                        <c:v>9</c:v>
                      </c:pt>
                      <c:pt idx="14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5-2373-4EEB-A496-342A1E007216}"/>
                  </c:ext>
                </c:extLst>
              </c15:ser>
            </c15:filteredLineSeries>
            <c15:filteredLineSeries>
              <c15:ser>
                <c:idx val="182"/>
                <c:order val="18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trends'!$C$190</c15:sqref>
                        </c15:formulaRef>
                      </c:ext>
                    </c:extLst>
                    <c:strCache>
                      <c:ptCount val="1"/>
                      <c:pt idx="0">
                        <c:v>EPC rating below 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trends'!$D$190:$R$190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</c:v>
                      </c:pt>
                      <c:pt idx="10">
                        <c:v>1</c:v>
                      </c:pt>
                      <c:pt idx="11">
                        <c:v>0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6-2373-4EEB-A496-342A1E007216}"/>
                  </c:ext>
                </c:extLst>
              </c15:ser>
            </c15:filteredLineSeries>
            <c15:filteredLineSeries>
              <c15:ser>
                <c:idx val="183"/>
                <c:order val="18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trends'!$C$191</c15:sqref>
                        </c15:formulaRef>
                      </c:ext>
                    </c:extLst>
                    <c:strCache>
                      <c:ptCount val="1"/>
                      <c:pt idx="0">
                        <c:v>Cost of deposits / rent in advance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trends'!$D$191:$R$191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35</c:v>
                      </c:pt>
                      <c:pt idx="1">
                        <c:v>39</c:v>
                      </c:pt>
                      <c:pt idx="2">
                        <c:v>41</c:v>
                      </c:pt>
                      <c:pt idx="3">
                        <c:v>19</c:v>
                      </c:pt>
                      <c:pt idx="4">
                        <c:v>53</c:v>
                      </c:pt>
                      <c:pt idx="5">
                        <c:v>50</c:v>
                      </c:pt>
                      <c:pt idx="6">
                        <c:v>38</c:v>
                      </c:pt>
                      <c:pt idx="7">
                        <c:v>35</c:v>
                      </c:pt>
                      <c:pt idx="8">
                        <c:v>53</c:v>
                      </c:pt>
                      <c:pt idx="9">
                        <c:v>45</c:v>
                      </c:pt>
                      <c:pt idx="10">
                        <c:v>45</c:v>
                      </c:pt>
                      <c:pt idx="11">
                        <c:v>26</c:v>
                      </c:pt>
                      <c:pt idx="12">
                        <c:v>35</c:v>
                      </c:pt>
                      <c:pt idx="13">
                        <c:v>33</c:v>
                      </c:pt>
                      <c:pt idx="14">
                        <c:v>30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7-2373-4EEB-A496-342A1E007216}"/>
                  </c:ext>
                </c:extLst>
              </c15:ser>
            </c15:filteredLineSeries>
            <c15:filteredLineSeries>
              <c15:ser>
                <c:idx val="184"/>
                <c:order val="18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trends'!$C$192</c15:sqref>
                        </c15:formulaRef>
                      </c:ext>
                    </c:extLst>
                    <c:strCache>
                      <c:ptCount val="1"/>
                      <c:pt idx="0">
                        <c:v>Tenancy deposit protection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trends'!$D$192:$R$192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79</c:v>
                      </c:pt>
                      <c:pt idx="1">
                        <c:v>85</c:v>
                      </c:pt>
                      <c:pt idx="2">
                        <c:v>58</c:v>
                      </c:pt>
                      <c:pt idx="3">
                        <c:v>72</c:v>
                      </c:pt>
                      <c:pt idx="4">
                        <c:v>78</c:v>
                      </c:pt>
                      <c:pt idx="5">
                        <c:v>79</c:v>
                      </c:pt>
                      <c:pt idx="6">
                        <c:v>67</c:v>
                      </c:pt>
                      <c:pt idx="7">
                        <c:v>91</c:v>
                      </c:pt>
                      <c:pt idx="8">
                        <c:v>72</c:v>
                      </c:pt>
                      <c:pt idx="9">
                        <c:v>71</c:v>
                      </c:pt>
                      <c:pt idx="10">
                        <c:v>98</c:v>
                      </c:pt>
                      <c:pt idx="11">
                        <c:v>61</c:v>
                      </c:pt>
                      <c:pt idx="12">
                        <c:v>67</c:v>
                      </c:pt>
                      <c:pt idx="13">
                        <c:v>76</c:v>
                      </c:pt>
                      <c:pt idx="14">
                        <c:v>80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8-2373-4EEB-A496-342A1E007216}"/>
                  </c:ext>
                </c:extLst>
              </c15:ser>
            </c15:filteredLineSeries>
            <c15:filteredLineSeries>
              <c15:ser>
                <c:idx val="185"/>
                <c:order val="18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trends'!$C$193</c15:sqref>
                        </c15:formulaRef>
                      </c:ext>
                    </c:extLst>
                    <c:strCache>
                      <c:ptCount val="1"/>
                      <c:pt idx="0">
                        <c:v>Tenancy deposit return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trends'!$D$193:$R$193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95</c:v>
                      </c:pt>
                      <c:pt idx="1">
                        <c:v>102</c:v>
                      </c:pt>
                      <c:pt idx="2">
                        <c:v>74</c:v>
                      </c:pt>
                      <c:pt idx="3">
                        <c:v>103</c:v>
                      </c:pt>
                      <c:pt idx="4">
                        <c:v>93</c:v>
                      </c:pt>
                      <c:pt idx="5">
                        <c:v>93</c:v>
                      </c:pt>
                      <c:pt idx="6">
                        <c:v>88</c:v>
                      </c:pt>
                      <c:pt idx="7">
                        <c:v>91</c:v>
                      </c:pt>
                      <c:pt idx="8">
                        <c:v>106</c:v>
                      </c:pt>
                      <c:pt idx="9">
                        <c:v>115</c:v>
                      </c:pt>
                      <c:pt idx="10">
                        <c:v>99</c:v>
                      </c:pt>
                      <c:pt idx="11">
                        <c:v>69</c:v>
                      </c:pt>
                      <c:pt idx="12">
                        <c:v>99</c:v>
                      </c:pt>
                      <c:pt idx="13">
                        <c:v>83</c:v>
                      </c:pt>
                      <c:pt idx="14">
                        <c:v>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9-2373-4EEB-A496-342A1E007216}"/>
                  </c:ext>
                </c:extLst>
              </c15:ser>
            </c15:filteredLineSeries>
            <c15:filteredLineSeries>
              <c15:ser>
                <c:idx val="186"/>
                <c:order val="18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trends'!$C$194</c15:sqref>
                        </c15:formulaRef>
                      </c:ext>
                    </c:extLst>
                    <c:strCache>
                      <c:ptCount val="1"/>
                      <c:pt idx="0">
                        <c:v>Tenant Fees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trends'!$D$194:$R$194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14</c:v>
                      </c:pt>
                      <c:pt idx="1">
                        <c:v>24</c:v>
                      </c:pt>
                      <c:pt idx="2">
                        <c:v>13</c:v>
                      </c:pt>
                      <c:pt idx="3">
                        <c:v>22</c:v>
                      </c:pt>
                      <c:pt idx="4">
                        <c:v>12</c:v>
                      </c:pt>
                      <c:pt idx="5">
                        <c:v>19</c:v>
                      </c:pt>
                      <c:pt idx="6">
                        <c:v>20</c:v>
                      </c:pt>
                      <c:pt idx="7">
                        <c:v>16</c:v>
                      </c:pt>
                      <c:pt idx="8">
                        <c:v>17</c:v>
                      </c:pt>
                      <c:pt idx="9">
                        <c:v>28</c:v>
                      </c:pt>
                      <c:pt idx="10">
                        <c:v>20</c:v>
                      </c:pt>
                      <c:pt idx="11">
                        <c:v>11</c:v>
                      </c:pt>
                      <c:pt idx="12">
                        <c:v>19</c:v>
                      </c:pt>
                      <c:pt idx="13">
                        <c:v>22</c:v>
                      </c:pt>
                      <c:pt idx="14">
                        <c:v>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A-2373-4EEB-A496-342A1E007216}"/>
                  </c:ext>
                </c:extLst>
              </c15:ser>
            </c15:filteredLineSeries>
            <c15:filteredLineSeries>
              <c15:ser>
                <c:idx val="187"/>
                <c:order val="18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trends'!$C$195</c15:sqref>
                        </c15:formulaRef>
                      </c:ext>
                    </c:extLst>
                    <c:strCache>
                      <c:ptCount val="1"/>
                      <c:pt idx="0">
                        <c:v>HMO (Houses in multiple occupation)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trends'!$D$195:$R$195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49</c:v>
                      </c:pt>
                      <c:pt idx="1">
                        <c:v>58</c:v>
                      </c:pt>
                      <c:pt idx="2">
                        <c:v>41</c:v>
                      </c:pt>
                      <c:pt idx="3">
                        <c:v>57</c:v>
                      </c:pt>
                      <c:pt idx="4">
                        <c:v>34</c:v>
                      </c:pt>
                      <c:pt idx="5">
                        <c:v>47</c:v>
                      </c:pt>
                      <c:pt idx="6">
                        <c:v>59</c:v>
                      </c:pt>
                      <c:pt idx="7">
                        <c:v>64</c:v>
                      </c:pt>
                      <c:pt idx="8">
                        <c:v>47</c:v>
                      </c:pt>
                      <c:pt idx="9">
                        <c:v>69</c:v>
                      </c:pt>
                      <c:pt idx="10">
                        <c:v>56</c:v>
                      </c:pt>
                      <c:pt idx="11">
                        <c:v>42</c:v>
                      </c:pt>
                      <c:pt idx="12">
                        <c:v>62</c:v>
                      </c:pt>
                      <c:pt idx="13">
                        <c:v>65</c:v>
                      </c:pt>
                      <c:pt idx="14">
                        <c:v>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B-2373-4EEB-A496-342A1E007216}"/>
                  </c:ext>
                </c:extLst>
              </c15:ser>
            </c15:filteredLineSeries>
            <c15:filteredLineSeries>
              <c15:ser>
                <c:idx val="188"/>
                <c:order val="18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trends'!$C$196</c15:sqref>
                        </c15:formulaRef>
                      </c:ext>
                    </c:extLst>
                    <c:strCache>
                      <c:ptCount val="1"/>
                      <c:pt idx="0">
                        <c:v>No EPC rating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trends'!$D$196:$R$196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4</c:v>
                      </c:pt>
                      <c:pt idx="1">
                        <c:v>6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2</c:v>
                      </c:pt>
                      <c:pt idx="5">
                        <c:v>1</c:v>
                      </c:pt>
                      <c:pt idx="6">
                        <c:v>4</c:v>
                      </c:pt>
                      <c:pt idx="7">
                        <c:v>6</c:v>
                      </c:pt>
                      <c:pt idx="8">
                        <c:v>11</c:v>
                      </c:pt>
                      <c:pt idx="9">
                        <c:v>5</c:v>
                      </c:pt>
                      <c:pt idx="10">
                        <c:v>3</c:v>
                      </c:pt>
                      <c:pt idx="11">
                        <c:v>5</c:v>
                      </c:pt>
                      <c:pt idx="12">
                        <c:v>4</c:v>
                      </c:pt>
                      <c:pt idx="13">
                        <c:v>7</c:v>
                      </c:pt>
                      <c:pt idx="14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C-2373-4EEB-A496-342A1E007216}"/>
                  </c:ext>
                </c:extLst>
              </c15:ser>
            </c15:filteredLineSeries>
            <c15:filteredLineSeries>
              <c15:ser>
                <c:idx val="189"/>
                <c:order val="18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trends'!$C$197</c15:sqref>
                        </c15:formulaRef>
                      </c:ext>
                    </c:extLst>
                    <c:strCache>
                      <c:ptCount val="1"/>
                      <c:pt idx="0">
                        <c:v>Harassment by landlord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trends'!$D$197:$R$197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43</c:v>
                      </c:pt>
                      <c:pt idx="1">
                        <c:v>57</c:v>
                      </c:pt>
                      <c:pt idx="2">
                        <c:v>46</c:v>
                      </c:pt>
                      <c:pt idx="3">
                        <c:v>56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69</c:v>
                      </c:pt>
                      <c:pt idx="7">
                        <c:v>26</c:v>
                      </c:pt>
                      <c:pt idx="8">
                        <c:v>63</c:v>
                      </c:pt>
                      <c:pt idx="9">
                        <c:v>56</c:v>
                      </c:pt>
                      <c:pt idx="10">
                        <c:v>50</c:v>
                      </c:pt>
                      <c:pt idx="11">
                        <c:v>47</c:v>
                      </c:pt>
                      <c:pt idx="12">
                        <c:v>52</c:v>
                      </c:pt>
                      <c:pt idx="13">
                        <c:v>43</c:v>
                      </c:pt>
                      <c:pt idx="14">
                        <c:v>54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D-2373-4EEB-A496-342A1E007216}"/>
                  </c:ext>
                </c:extLst>
              </c15:ser>
            </c15:filteredLineSeries>
            <c15:filteredLineSeries>
              <c15:ser>
                <c:idx val="190"/>
                <c:order val="19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trends'!$C$198</c15:sqref>
                        </c15:formulaRef>
                      </c:ext>
                    </c:extLst>
                    <c:strCache>
                      <c:ptCount val="1"/>
                      <c:pt idx="0">
                        <c:v>Illegal eviction by landlord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trends'!$D$198:$R$198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41</c:v>
                      </c:pt>
                      <c:pt idx="1">
                        <c:v>33</c:v>
                      </c:pt>
                      <c:pt idx="2">
                        <c:v>33</c:v>
                      </c:pt>
                      <c:pt idx="3">
                        <c:v>42</c:v>
                      </c:pt>
                      <c:pt idx="4">
                        <c:v>48</c:v>
                      </c:pt>
                      <c:pt idx="5">
                        <c:v>35</c:v>
                      </c:pt>
                      <c:pt idx="6">
                        <c:v>52</c:v>
                      </c:pt>
                      <c:pt idx="7">
                        <c:v>29</c:v>
                      </c:pt>
                      <c:pt idx="8">
                        <c:v>28</c:v>
                      </c:pt>
                      <c:pt idx="9">
                        <c:v>42</c:v>
                      </c:pt>
                      <c:pt idx="10">
                        <c:v>49</c:v>
                      </c:pt>
                      <c:pt idx="11">
                        <c:v>23</c:v>
                      </c:pt>
                      <c:pt idx="12">
                        <c:v>46</c:v>
                      </c:pt>
                      <c:pt idx="13">
                        <c:v>35</c:v>
                      </c:pt>
                      <c:pt idx="14">
                        <c:v>39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E-2373-4EEB-A496-342A1E007216}"/>
                  </c:ext>
                </c:extLst>
              </c15:ser>
            </c15:filteredLineSeries>
            <c15:filteredLineSeries>
              <c15:ser>
                <c:idx val="191"/>
                <c:order val="19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trends'!$C$199</c15:sqref>
                        </c15:formulaRef>
                      </c:ext>
                    </c:extLst>
                    <c:strCache>
                      <c:ptCount val="1"/>
                      <c:pt idx="0">
                        <c:v>Improvement grants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trends'!$D$199:$R$199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5</c:v>
                      </c:pt>
                      <c:pt idx="1">
                        <c:v>2</c:v>
                      </c:pt>
                      <c:pt idx="2">
                        <c:v>1</c:v>
                      </c:pt>
                      <c:pt idx="3">
                        <c:v>4</c:v>
                      </c:pt>
                      <c:pt idx="4">
                        <c:v>6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7</c:v>
                      </c:pt>
                      <c:pt idx="8">
                        <c:v>3</c:v>
                      </c:pt>
                      <c:pt idx="9">
                        <c:v>4</c:v>
                      </c:pt>
                      <c:pt idx="10">
                        <c:v>2</c:v>
                      </c:pt>
                      <c:pt idx="11">
                        <c:v>7</c:v>
                      </c:pt>
                      <c:pt idx="12">
                        <c:v>3</c:v>
                      </c:pt>
                      <c:pt idx="13">
                        <c:v>2</c:v>
                      </c:pt>
                      <c:pt idx="1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BF-2373-4EEB-A496-342A1E007216}"/>
                  </c:ext>
                </c:extLst>
              </c15:ser>
            </c15:filteredLineSeries>
            <c15:filteredLineSeries>
              <c15:ser>
                <c:idx val="192"/>
                <c:order val="19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trends'!$C$200</c15:sqref>
                        </c15:formulaRef>
                      </c:ext>
                    </c:extLst>
                    <c:strCache>
                      <c:ptCount val="1"/>
                      <c:pt idx="0">
                        <c:v>Lack of suitable or affordable alternatives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trends'!$D$200:$R$200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64</c:v>
                      </c:pt>
                      <c:pt idx="1">
                        <c:v>48</c:v>
                      </c:pt>
                      <c:pt idx="2">
                        <c:v>64</c:v>
                      </c:pt>
                      <c:pt idx="3">
                        <c:v>24</c:v>
                      </c:pt>
                      <c:pt idx="4">
                        <c:v>50</c:v>
                      </c:pt>
                      <c:pt idx="5">
                        <c:v>67</c:v>
                      </c:pt>
                      <c:pt idx="6">
                        <c:v>60</c:v>
                      </c:pt>
                      <c:pt idx="7">
                        <c:v>36</c:v>
                      </c:pt>
                      <c:pt idx="8">
                        <c:v>38</c:v>
                      </c:pt>
                      <c:pt idx="9">
                        <c:v>42</c:v>
                      </c:pt>
                      <c:pt idx="10">
                        <c:v>37</c:v>
                      </c:pt>
                      <c:pt idx="11">
                        <c:v>29</c:v>
                      </c:pt>
                      <c:pt idx="12">
                        <c:v>45</c:v>
                      </c:pt>
                      <c:pt idx="13">
                        <c:v>55</c:v>
                      </c:pt>
                      <c:pt idx="14">
                        <c:v>51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0-2373-4EEB-A496-342A1E007216}"/>
                  </c:ext>
                </c:extLst>
              </c15:ser>
            </c15:filteredLineSeries>
            <c15:filteredLineSeries>
              <c15:ser>
                <c:idx val="193"/>
                <c:order val="19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trends'!$C$201</c15:sqref>
                        </c15:formulaRef>
                      </c:ext>
                    </c:extLst>
                    <c:strCache>
                      <c:ptCount val="1"/>
                      <c:pt idx="0">
                        <c:v>Deposit replacement schemes/No deposit schemes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trends'!$D$201:$R$201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18</c:v>
                      </c:pt>
                      <c:pt idx="1">
                        <c:v>14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25</c:v>
                      </c:pt>
                      <c:pt idx="5">
                        <c:v>15</c:v>
                      </c:pt>
                      <c:pt idx="6">
                        <c:v>18</c:v>
                      </c:pt>
                      <c:pt idx="7">
                        <c:v>12</c:v>
                      </c:pt>
                      <c:pt idx="8">
                        <c:v>18</c:v>
                      </c:pt>
                      <c:pt idx="9">
                        <c:v>18</c:v>
                      </c:pt>
                      <c:pt idx="10">
                        <c:v>16</c:v>
                      </c:pt>
                      <c:pt idx="11">
                        <c:v>18</c:v>
                      </c:pt>
                      <c:pt idx="12">
                        <c:v>24</c:v>
                      </c:pt>
                      <c:pt idx="13">
                        <c:v>12</c:v>
                      </c:pt>
                      <c:pt idx="14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1-2373-4EEB-A496-342A1E007216}"/>
                  </c:ext>
                </c:extLst>
              </c15:ser>
            </c15:filteredLineSeries>
            <c15:filteredLineSeries>
              <c15:ser>
                <c:idx val="194"/>
                <c:order val="19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trends'!$C$202</c15:sqref>
                        </c15:formulaRef>
                      </c:ext>
                    </c:extLst>
                    <c:strCache>
                      <c:ptCount val="1"/>
                      <c:pt idx="0">
                        <c:v>Invalid notice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trends'!$D$202:$R$202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21</c:v>
                      </c:pt>
                      <c:pt idx="1">
                        <c:v>21</c:v>
                      </c:pt>
                      <c:pt idx="2">
                        <c:v>16</c:v>
                      </c:pt>
                      <c:pt idx="3">
                        <c:v>21</c:v>
                      </c:pt>
                      <c:pt idx="4">
                        <c:v>28</c:v>
                      </c:pt>
                      <c:pt idx="5">
                        <c:v>29</c:v>
                      </c:pt>
                      <c:pt idx="6">
                        <c:v>28</c:v>
                      </c:pt>
                      <c:pt idx="7">
                        <c:v>21</c:v>
                      </c:pt>
                      <c:pt idx="8">
                        <c:v>15</c:v>
                      </c:pt>
                      <c:pt idx="9">
                        <c:v>21</c:v>
                      </c:pt>
                      <c:pt idx="10">
                        <c:v>35</c:v>
                      </c:pt>
                      <c:pt idx="11">
                        <c:v>18</c:v>
                      </c:pt>
                      <c:pt idx="12">
                        <c:v>30</c:v>
                      </c:pt>
                      <c:pt idx="13">
                        <c:v>39</c:v>
                      </c:pt>
                      <c:pt idx="14">
                        <c:v>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2-2373-4EEB-A496-342A1E007216}"/>
                  </c:ext>
                </c:extLst>
              </c15:ser>
            </c15:filteredLineSeries>
            <c15:filteredLineSeries>
              <c15:ser>
                <c:idx val="195"/>
                <c:order val="19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trends'!$C$203</c15:sqref>
                        </c15:formulaRef>
                      </c:ext>
                    </c:extLst>
                    <c:strCache>
                      <c:ptCount val="1"/>
                      <c:pt idx="0">
                        <c:v>Valid notice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trends'!$D$203:$R$203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26</c:v>
                      </c:pt>
                      <c:pt idx="1">
                        <c:v>33</c:v>
                      </c:pt>
                      <c:pt idx="2">
                        <c:v>25</c:v>
                      </c:pt>
                      <c:pt idx="3">
                        <c:v>38</c:v>
                      </c:pt>
                      <c:pt idx="4">
                        <c:v>47</c:v>
                      </c:pt>
                      <c:pt idx="5">
                        <c:v>39</c:v>
                      </c:pt>
                      <c:pt idx="6">
                        <c:v>49</c:v>
                      </c:pt>
                      <c:pt idx="7">
                        <c:v>34</c:v>
                      </c:pt>
                      <c:pt idx="8">
                        <c:v>34</c:v>
                      </c:pt>
                      <c:pt idx="9">
                        <c:v>37</c:v>
                      </c:pt>
                      <c:pt idx="10">
                        <c:v>36</c:v>
                      </c:pt>
                      <c:pt idx="11">
                        <c:v>26</c:v>
                      </c:pt>
                      <c:pt idx="12">
                        <c:v>50</c:v>
                      </c:pt>
                      <c:pt idx="13">
                        <c:v>53</c:v>
                      </c:pt>
                      <c:pt idx="14">
                        <c:v>54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3-2373-4EEB-A496-342A1E007216}"/>
                  </c:ext>
                </c:extLst>
              </c15:ser>
            </c15:filteredLineSeries>
            <c15:filteredLineSeries>
              <c15:ser>
                <c:idx val="196"/>
                <c:order val="19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trends'!$C$204</c15:sqref>
                        </c15:formulaRef>
                      </c:ext>
                    </c:extLst>
                    <c:strCache>
                      <c:ptCount val="1"/>
                      <c:pt idx="0">
                        <c:v>Not recorded/not applicable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trends'!$D$204:$R$204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44</c:v>
                      </c:pt>
                      <c:pt idx="1">
                        <c:v>35</c:v>
                      </c:pt>
                      <c:pt idx="2">
                        <c:v>31</c:v>
                      </c:pt>
                      <c:pt idx="3">
                        <c:v>20</c:v>
                      </c:pt>
                      <c:pt idx="4">
                        <c:v>23</c:v>
                      </c:pt>
                      <c:pt idx="5">
                        <c:v>28</c:v>
                      </c:pt>
                      <c:pt idx="6">
                        <c:v>33</c:v>
                      </c:pt>
                      <c:pt idx="7">
                        <c:v>29</c:v>
                      </c:pt>
                      <c:pt idx="8">
                        <c:v>40</c:v>
                      </c:pt>
                      <c:pt idx="9">
                        <c:v>46</c:v>
                      </c:pt>
                      <c:pt idx="10">
                        <c:v>38</c:v>
                      </c:pt>
                      <c:pt idx="11">
                        <c:v>36</c:v>
                      </c:pt>
                      <c:pt idx="12">
                        <c:v>61</c:v>
                      </c:pt>
                      <c:pt idx="13">
                        <c:v>52</c:v>
                      </c:pt>
                      <c:pt idx="14">
                        <c:v>60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4-2373-4EEB-A496-342A1E007216}"/>
                  </c:ext>
                </c:extLst>
              </c15:ser>
            </c15:filteredLineSeries>
            <c15:filteredLineSeries>
              <c15:ser>
                <c:idx val="197"/>
                <c:order val="19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trends'!$C$205</c15:sqref>
                        </c15:formulaRef>
                      </c:ext>
                    </c:extLst>
                    <c:strCache>
                      <c:ptCount val="1"/>
                      <c:pt idx="0">
                        <c:v>Possession action (not arrears)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trends'!$D$205:$R$205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119</c:v>
                      </c:pt>
                      <c:pt idx="1">
                        <c:v>129</c:v>
                      </c:pt>
                      <c:pt idx="2">
                        <c:v>119</c:v>
                      </c:pt>
                      <c:pt idx="3">
                        <c:v>118</c:v>
                      </c:pt>
                      <c:pt idx="4">
                        <c:v>129</c:v>
                      </c:pt>
                      <c:pt idx="5">
                        <c:v>120</c:v>
                      </c:pt>
                      <c:pt idx="6">
                        <c:v>142</c:v>
                      </c:pt>
                      <c:pt idx="7">
                        <c:v>126</c:v>
                      </c:pt>
                      <c:pt idx="8">
                        <c:v>111</c:v>
                      </c:pt>
                      <c:pt idx="9">
                        <c:v>115</c:v>
                      </c:pt>
                      <c:pt idx="10">
                        <c:v>93</c:v>
                      </c:pt>
                      <c:pt idx="11">
                        <c:v>72</c:v>
                      </c:pt>
                      <c:pt idx="12">
                        <c:v>139</c:v>
                      </c:pt>
                      <c:pt idx="13">
                        <c:v>132</c:v>
                      </c:pt>
                      <c:pt idx="14">
                        <c:v>172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5-2373-4EEB-A496-342A1E007216}"/>
                  </c:ext>
                </c:extLst>
              </c15:ser>
            </c15:filteredLineSeries>
            <c15:filteredLineSeries>
              <c15:ser>
                <c:idx val="200"/>
                <c:order val="20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trends'!$C$208</c15:sqref>
                        </c15:formulaRef>
                      </c:ext>
                    </c:extLst>
                    <c:strCache>
                      <c:ptCount val="1"/>
                      <c:pt idx="0">
                        <c:v>Adaptations for disabled people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trends'!$D$208:$R$208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7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5</c:v>
                      </c:pt>
                      <c:pt idx="4">
                        <c:v>8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5</c:v>
                      </c:pt>
                      <c:pt idx="9">
                        <c:v>11</c:v>
                      </c:pt>
                      <c:pt idx="10">
                        <c:v>8</c:v>
                      </c:pt>
                      <c:pt idx="11">
                        <c:v>5</c:v>
                      </c:pt>
                      <c:pt idx="12">
                        <c:v>7</c:v>
                      </c:pt>
                      <c:pt idx="13">
                        <c:v>8</c:v>
                      </c:pt>
                      <c:pt idx="14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8-2373-4EEB-A496-342A1E007216}"/>
                  </c:ext>
                </c:extLst>
              </c15:ser>
            </c15:filteredLineSeries>
            <c15:filteredLineSeries>
              <c15:ser>
                <c:idx val="201"/>
                <c:order val="20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trends'!$C$209</c15:sqref>
                        </c15:formulaRef>
                      </c:ext>
                    </c:extLst>
                    <c:strCache>
                      <c:ptCount val="1"/>
                      <c:pt idx="0">
                        <c:v>District and communal heating systems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trends'!$D$209:$R$209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3</c:v>
                      </c:pt>
                      <c:pt idx="1">
                        <c:v>4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1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3</c:v>
                      </c:pt>
                      <c:pt idx="11">
                        <c:v>2</c:v>
                      </c:pt>
                      <c:pt idx="12">
                        <c:v>4</c:v>
                      </c:pt>
                      <c:pt idx="13">
                        <c:v>5</c:v>
                      </c:pt>
                      <c:pt idx="14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9-2373-4EEB-A496-342A1E007216}"/>
                  </c:ext>
                </c:extLst>
              </c15:ser>
            </c15:filteredLineSeries>
            <c15:filteredLineSeries>
              <c15:ser>
                <c:idx val="202"/>
                <c:order val="20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trends'!$C$210</c15:sqref>
                        </c15:formulaRef>
                      </c:ext>
                    </c:extLst>
                    <c:strCache>
                      <c:ptCount val="1"/>
                      <c:pt idx="0">
                        <c:v>Retaliatory evictions (disrepair)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trends'!$D$210:$R$210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28</c:v>
                      </c:pt>
                      <c:pt idx="1">
                        <c:v>28</c:v>
                      </c:pt>
                      <c:pt idx="2">
                        <c:v>35</c:v>
                      </c:pt>
                      <c:pt idx="3">
                        <c:v>25</c:v>
                      </c:pt>
                      <c:pt idx="4">
                        <c:v>12</c:v>
                      </c:pt>
                      <c:pt idx="5">
                        <c:v>21</c:v>
                      </c:pt>
                      <c:pt idx="6">
                        <c:v>26</c:v>
                      </c:pt>
                      <c:pt idx="7">
                        <c:v>23</c:v>
                      </c:pt>
                      <c:pt idx="8">
                        <c:v>23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A-2373-4EEB-A496-342A1E007216}"/>
                  </c:ext>
                </c:extLst>
              </c15:ser>
            </c15:filteredLineSeries>
            <c15:filteredLineSeries>
              <c15:ser>
                <c:idx val="203"/>
                <c:order val="20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trends'!$C$211</c15:sqref>
                        </c15:formulaRef>
                      </c:ext>
                    </c:extLst>
                    <c:strCache>
                      <c:ptCount val="1"/>
                      <c:pt idx="0">
                        <c:v>Relationship breakdown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trends'!$D$211:$R$211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23</c:v>
                      </c:pt>
                      <c:pt idx="1">
                        <c:v>20</c:v>
                      </c:pt>
                      <c:pt idx="2">
                        <c:v>28</c:v>
                      </c:pt>
                      <c:pt idx="3">
                        <c:v>23</c:v>
                      </c:pt>
                      <c:pt idx="4">
                        <c:v>16</c:v>
                      </c:pt>
                      <c:pt idx="5">
                        <c:v>14</c:v>
                      </c:pt>
                      <c:pt idx="6">
                        <c:v>22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17</c:v>
                      </c:pt>
                      <c:pt idx="10">
                        <c:v>19</c:v>
                      </c:pt>
                      <c:pt idx="11">
                        <c:v>11</c:v>
                      </c:pt>
                      <c:pt idx="12">
                        <c:v>13</c:v>
                      </c:pt>
                      <c:pt idx="13">
                        <c:v>19</c:v>
                      </c:pt>
                      <c:pt idx="14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B-2373-4EEB-A496-342A1E007216}"/>
                  </c:ext>
                </c:extLst>
              </c15:ser>
            </c15:filteredLineSeries>
            <c15:filteredLineSeries>
              <c15:ser>
                <c:idx val="204"/>
                <c:order val="20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trends'!$C$212</c15:sqref>
                        </c15:formulaRef>
                      </c:ext>
                    </c:extLst>
                    <c:strCache>
                      <c:ptCount val="1"/>
                      <c:pt idx="0">
                        <c:v>Retaliatory evictions (not disrepair)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trends'!$D$212:$R$212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13</c:v>
                      </c:pt>
                      <c:pt idx="10">
                        <c:v>16</c:v>
                      </c:pt>
                      <c:pt idx="11">
                        <c:v>8</c:v>
                      </c:pt>
                      <c:pt idx="12">
                        <c:v>12</c:v>
                      </c:pt>
                      <c:pt idx="13">
                        <c:v>10</c:v>
                      </c:pt>
                      <c:pt idx="14">
                        <c:v>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C-2373-4EEB-A496-342A1E007216}"/>
                  </c:ext>
                </c:extLst>
              </c15:ser>
            </c15:filteredLineSeries>
            <c15:filteredLineSeries>
              <c15:ser>
                <c:idx val="205"/>
                <c:order val="20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trends'!$C$213</c15:sqref>
                        </c15:formulaRef>
                      </c:ext>
                    </c:extLst>
                    <c:strCache>
                      <c:ptCount val="1"/>
                      <c:pt idx="0">
                        <c:v>Immigration issues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7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trends'!$D$213:$R$213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5</c:v>
                      </c:pt>
                      <c:pt idx="1">
                        <c:v>7</c:v>
                      </c:pt>
                      <c:pt idx="2">
                        <c:v>4</c:v>
                      </c:pt>
                      <c:pt idx="3">
                        <c:v>11</c:v>
                      </c:pt>
                      <c:pt idx="4">
                        <c:v>6</c:v>
                      </c:pt>
                      <c:pt idx="5">
                        <c:v>18</c:v>
                      </c:pt>
                      <c:pt idx="6">
                        <c:v>10</c:v>
                      </c:pt>
                      <c:pt idx="7">
                        <c:v>5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7</c:v>
                      </c:pt>
                      <c:pt idx="11">
                        <c:v>3</c:v>
                      </c:pt>
                      <c:pt idx="12">
                        <c:v>10</c:v>
                      </c:pt>
                      <c:pt idx="13">
                        <c:v>2</c:v>
                      </c:pt>
                      <c:pt idx="14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D-2373-4EEB-A496-342A1E007216}"/>
                  </c:ext>
                </c:extLst>
              </c15:ser>
            </c15:filteredLineSeries>
            <c15:filteredLineSeries>
              <c15:ser>
                <c:idx val="206"/>
                <c:order val="20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trends'!$C$214</c15:sqref>
                        </c15:formulaRef>
                      </c:ext>
                    </c:extLst>
                    <c:strCache>
                      <c:ptCount val="1"/>
                      <c:pt idx="0">
                        <c:v>Tenancy agreements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7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trends'!$D$214:$R$214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179</c:v>
                      </c:pt>
                      <c:pt idx="1">
                        <c:v>213</c:v>
                      </c:pt>
                      <c:pt idx="2">
                        <c:v>167</c:v>
                      </c:pt>
                      <c:pt idx="3">
                        <c:v>163</c:v>
                      </c:pt>
                      <c:pt idx="4">
                        <c:v>151</c:v>
                      </c:pt>
                      <c:pt idx="5">
                        <c:v>158</c:v>
                      </c:pt>
                      <c:pt idx="6">
                        <c:v>180</c:v>
                      </c:pt>
                      <c:pt idx="7">
                        <c:v>155</c:v>
                      </c:pt>
                      <c:pt idx="8">
                        <c:v>180</c:v>
                      </c:pt>
                      <c:pt idx="9">
                        <c:v>189</c:v>
                      </c:pt>
                      <c:pt idx="10">
                        <c:v>182</c:v>
                      </c:pt>
                      <c:pt idx="11">
                        <c:v>139</c:v>
                      </c:pt>
                      <c:pt idx="12">
                        <c:v>182</c:v>
                      </c:pt>
                      <c:pt idx="13">
                        <c:v>193</c:v>
                      </c:pt>
                      <c:pt idx="14">
                        <c:v>198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E-2373-4EEB-A496-342A1E007216}"/>
                  </c:ext>
                </c:extLst>
              </c15:ser>
            </c15:filteredLineSeries>
            <c15:filteredLineSeries>
              <c15:ser>
                <c:idx val="207"/>
                <c:order val="20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trends'!$C$215</c15:sqref>
                        </c15:formulaRef>
                      </c:ext>
                    </c:extLst>
                    <c:strCache>
                      <c:ptCount val="1"/>
                      <c:pt idx="0">
                        <c:v>Tenant notice requirements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7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trends'!$D$215:$R$215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50</c:v>
                      </c:pt>
                      <c:pt idx="1">
                        <c:v>54</c:v>
                      </c:pt>
                      <c:pt idx="2">
                        <c:v>46</c:v>
                      </c:pt>
                      <c:pt idx="3">
                        <c:v>40</c:v>
                      </c:pt>
                      <c:pt idx="4">
                        <c:v>40</c:v>
                      </c:pt>
                      <c:pt idx="5">
                        <c:v>43</c:v>
                      </c:pt>
                      <c:pt idx="6">
                        <c:v>32</c:v>
                      </c:pt>
                      <c:pt idx="7">
                        <c:v>33</c:v>
                      </c:pt>
                      <c:pt idx="8">
                        <c:v>30</c:v>
                      </c:pt>
                      <c:pt idx="9">
                        <c:v>53</c:v>
                      </c:pt>
                      <c:pt idx="10">
                        <c:v>50</c:v>
                      </c:pt>
                      <c:pt idx="11">
                        <c:v>29</c:v>
                      </c:pt>
                      <c:pt idx="12">
                        <c:v>48</c:v>
                      </c:pt>
                      <c:pt idx="13">
                        <c:v>49</c:v>
                      </c:pt>
                      <c:pt idx="14">
                        <c:v>50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CF-2373-4EEB-A496-342A1E007216}"/>
                  </c:ext>
                </c:extLst>
              </c15:ser>
            </c15:filteredLineSeries>
            <c15:filteredLineSeries>
              <c15:ser>
                <c:idx val="208"/>
                <c:order val="20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trends'!$C$216</c15:sqref>
                        </c15:formulaRef>
                      </c:ext>
                    </c:extLst>
                    <c:strCache>
                      <c:ptCount val="1"/>
                      <c:pt idx="0">
                        <c:v>Charges eligible for housing related costs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7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trends'!$D$216:$R$216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9">
                        <c:v>3</c:v>
                      </c:pt>
                      <c:pt idx="10">
                        <c:v>6</c:v>
                      </c:pt>
                      <c:pt idx="11">
                        <c:v>3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D0-2373-4EEB-A496-342A1E007216}"/>
                  </c:ext>
                </c:extLst>
              </c15:ser>
            </c15:filteredLineSeries>
            <c15:filteredLineSeries>
              <c15:ser>
                <c:idx val="209"/>
                <c:order val="20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trends'!$C$217</c15:sqref>
                        </c15:formulaRef>
                      </c:ext>
                    </c:extLst>
                    <c:strCache>
                      <c:ptCount val="1"/>
                      <c:pt idx="0">
                        <c:v>Rent Smart Wales (landlord/agent enquiry)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7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trends'!$D$217:$R$217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5">
                        <c:v>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D1-2373-4EEB-A496-342A1E007216}"/>
                  </c:ext>
                </c:extLst>
              </c15:ser>
            </c15:filteredLineSeries>
            <c15:filteredLineSeries>
              <c15:ser>
                <c:idx val="210"/>
                <c:order val="2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trends'!$C$218</c15:sqref>
                        </c15:formulaRef>
                      </c:ext>
                    </c:extLst>
                    <c:strCache>
                      <c:ptCount val="1"/>
                      <c:pt idx="0">
                        <c:v>Rent Smart Wales (tenant enquiring)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50000"/>
                        <a:lumOff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trends'!$D$218:$R$218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</c:v>
                      </c:pt>
                      <c:pt idx="5">
                        <c:v>1</c:v>
                      </c:pt>
                      <c:pt idx="11">
                        <c:v>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D2-2373-4EEB-A496-342A1E007216}"/>
                  </c:ext>
                </c:extLst>
              </c15:ser>
            </c15:filteredLineSeries>
            <c15:filteredLineSeries>
              <c15:ser>
                <c:idx val="211"/>
                <c:order val="2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trends'!$C$219</c15:sqref>
                        </c15:formulaRef>
                      </c:ext>
                    </c:extLst>
                    <c:strCache>
                      <c:ptCount val="1"/>
                      <c:pt idx="0">
                        <c:v>Wales Standard Occupation Contract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50000"/>
                        <a:lumOff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trends'!$D$219:$R$219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9">
                        <c:v>1</c:v>
                      </c:pt>
                      <c:pt idx="11">
                        <c:v>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D3-2373-4EEB-A496-342A1E007216}"/>
                  </c:ext>
                </c:extLst>
              </c15:ser>
            </c15:filteredLineSeries>
            <c15:filteredLineSeries>
              <c15:ser>
                <c:idx val="212"/>
                <c:order val="2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trends'!$C$220</c15:sqref>
                        </c15:formulaRef>
                      </c:ext>
                    </c:extLst>
                    <c:strCache>
                      <c:ptCount val="1"/>
                      <c:pt idx="0">
                        <c:v>Wales Failure to provide landlord's address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50000"/>
                        <a:lumOff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trends'!$D$220:$R$220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5">
                        <c:v>1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D4-2373-4EEB-A496-342A1E007216}"/>
                  </c:ext>
                </c:extLst>
              </c15:ser>
            </c15:filteredLineSeries>
            <c15:filteredLineSeries>
              <c15:ser>
                <c:idx val="213"/>
                <c:order val="2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trends'!$C$221</c15:sqref>
                        </c15:formulaRef>
                      </c:ext>
                    </c:extLst>
                    <c:strCache>
                      <c:ptCount val="1"/>
                      <c:pt idx="0">
                        <c:v>Joint tenancy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50000"/>
                        <a:lumOff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trends'!$D$221:$R$221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27</c:v>
                      </c:pt>
                      <c:pt idx="4">
                        <c:v>28</c:v>
                      </c:pt>
                      <c:pt idx="5">
                        <c:v>25</c:v>
                      </c:pt>
                      <c:pt idx="6">
                        <c:v>38</c:v>
                      </c:pt>
                      <c:pt idx="7">
                        <c:v>26</c:v>
                      </c:pt>
                      <c:pt idx="8">
                        <c:v>35</c:v>
                      </c:pt>
                      <c:pt idx="9">
                        <c:v>36</c:v>
                      </c:pt>
                      <c:pt idx="10">
                        <c:v>32</c:v>
                      </c:pt>
                      <c:pt idx="11">
                        <c:v>21</c:v>
                      </c:pt>
                      <c:pt idx="12">
                        <c:v>35</c:v>
                      </c:pt>
                      <c:pt idx="13">
                        <c:v>50</c:v>
                      </c:pt>
                      <c:pt idx="14">
                        <c:v>43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D5-2373-4EEB-A496-342A1E007216}"/>
                  </c:ext>
                </c:extLst>
              </c15:ser>
            </c15:filteredLineSeries>
            <c15:filteredLineSeries>
              <c15:ser>
                <c:idx val="214"/>
                <c:order val="2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trends'!$C$222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50000"/>
                        <a:lumOff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trends'!$D$7:$R$7</c15:sqref>
                        </c15:formulaRef>
                      </c:ext>
                    </c:extLst>
                    <c:numCache>
                      <c:formatCode>m/d/yy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'Citizen advice trends'!$D$222:$R$222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184</c:v>
                      </c:pt>
                      <c:pt idx="1">
                        <c:v>154</c:v>
                      </c:pt>
                      <c:pt idx="2">
                        <c:v>159</c:v>
                      </c:pt>
                      <c:pt idx="3">
                        <c:v>147</c:v>
                      </c:pt>
                      <c:pt idx="4">
                        <c:v>149</c:v>
                      </c:pt>
                      <c:pt idx="5">
                        <c:v>152</c:v>
                      </c:pt>
                      <c:pt idx="6">
                        <c:v>178</c:v>
                      </c:pt>
                      <c:pt idx="7">
                        <c:v>163</c:v>
                      </c:pt>
                      <c:pt idx="8">
                        <c:v>174</c:v>
                      </c:pt>
                      <c:pt idx="9">
                        <c:v>165</c:v>
                      </c:pt>
                      <c:pt idx="10">
                        <c:v>141</c:v>
                      </c:pt>
                      <c:pt idx="11">
                        <c:v>110</c:v>
                      </c:pt>
                      <c:pt idx="12">
                        <c:v>157</c:v>
                      </c:pt>
                      <c:pt idx="13">
                        <c:v>167</c:v>
                      </c:pt>
                      <c:pt idx="14">
                        <c:v>191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D6-2373-4EEB-A496-342A1E007216}"/>
                  </c:ext>
                </c:extLst>
              </c15:ser>
            </c15:filteredLineSeries>
          </c:ext>
        </c:extLst>
      </c:lineChart>
      <c:dateAx>
        <c:axId val="112434452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331560"/>
        <c:crosses val="autoZero"/>
        <c:auto val="1"/>
        <c:lblOffset val="100"/>
        <c:baseTimeUnit val="months"/>
      </c:dateAx>
      <c:valAx>
        <c:axId val="1124331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34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2"/>
          <c:order val="22"/>
          <c:tx>
            <c:strRef>
              <c:f>'PIPR Annual change'!$Y$7</c:f>
              <c:strCache>
                <c:ptCount val="1"/>
                <c:pt idx="0">
                  <c:v>London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'PIPR Annual change'!$B$8:$B$44</c:f>
              <c:numCache>
                <c:formatCode>mmm\-yyyy</c:formatCode>
                <c:ptCount val="3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</c:numCache>
            </c:numRef>
          </c:cat>
          <c:val>
            <c:numRef>
              <c:f>'PIPR Annual change'!$Y$8:$Y$44</c:f>
              <c:numCache>
                <c:formatCode>General</c:formatCode>
                <c:ptCount val="37"/>
                <c:pt idx="0">
                  <c:v>5.913646</c:v>
                </c:pt>
                <c:pt idx="1">
                  <c:v>6.1373420000000003</c:v>
                </c:pt>
                <c:pt idx="2">
                  <c:v>6.3326880000000001</c:v>
                </c:pt>
                <c:pt idx="3">
                  <c:v>7.1182410000000003</c:v>
                </c:pt>
                <c:pt idx="4">
                  <c:v>8.3625589999999992</c:v>
                </c:pt>
                <c:pt idx="5">
                  <c:v>9.2114349999999998</c:v>
                </c:pt>
                <c:pt idx="6">
                  <c:v>9.5130579999999991</c:v>
                </c:pt>
                <c:pt idx="7">
                  <c:v>9.7324900000000003</c:v>
                </c:pt>
                <c:pt idx="8">
                  <c:v>9.6166800000000006</c:v>
                </c:pt>
                <c:pt idx="9">
                  <c:v>10.048779</c:v>
                </c:pt>
                <c:pt idx="10">
                  <c:v>9.7171669999999999</c:v>
                </c:pt>
                <c:pt idx="11">
                  <c:v>9.6640250000000005</c:v>
                </c:pt>
                <c:pt idx="12">
                  <c:v>9.7357139999999998</c:v>
                </c:pt>
                <c:pt idx="13">
                  <c:v>10.477062999999999</c:v>
                </c:pt>
                <c:pt idx="14">
                  <c:v>11.170664</c:v>
                </c:pt>
                <c:pt idx="15">
                  <c:v>10.744116999999999</c:v>
                </c:pt>
                <c:pt idx="16">
                  <c:v>10.091659999999999</c:v>
                </c:pt>
                <c:pt idx="17">
                  <c:v>9.6366519999999998</c:v>
                </c:pt>
                <c:pt idx="18">
                  <c:v>9.6325950000000002</c:v>
                </c:pt>
                <c:pt idx="19">
                  <c:v>9.5187200000000001</c:v>
                </c:pt>
                <c:pt idx="20">
                  <c:v>9.7127510000000008</c:v>
                </c:pt>
                <c:pt idx="21">
                  <c:v>10.218742000000001</c:v>
                </c:pt>
                <c:pt idx="22">
                  <c:v>11.494046000000001</c:v>
                </c:pt>
                <c:pt idx="23">
                  <c:v>11.426940999999999</c:v>
                </c:pt>
                <c:pt idx="24">
                  <c:v>10.96637</c:v>
                </c:pt>
                <c:pt idx="25">
                  <c:v>9.8914059999999999</c:v>
                </c:pt>
                <c:pt idx="26">
                  <c:v>9.0646649999999998</c:v>
                </c:pt>
                <c:pt idx="27">
                  <c:v>8.4253699999999991</c:v>
                </c:pt>
                <c:pt idx="28">
                  <c:v>7.7114690000000001</c:v>
                </c:pt>
                <c:pt idx="29">
                  <c:v>7.2571649999999996</c:v>
                </c:pt>
                <c:pt idx="30">
                  <c:v>6.2993769999999998</c:v>
                </c:pt>
                <c:pt idx="31">
                  <c:v>5.7406430000000004</c:v>
                </c:pt>
                <c:pt idx="32">
                  <c:v>5.2674370000000001</c:v>
                </c:pt>
                <c:pt idx="33">
                  <c:v>4.2675530000000004</c:v>
                </c:pt>
                <c:pt idx="34">
                  <c:v>2.8047040000000001</c:v>
                </c:pt>
                <c:pt idx="35">
                  <c:v>2.0851139999999999</c:v>
                </c:pt>
                <c:pt idx="36">
                  <c:v>1.065167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957-4E29-8472-37C5FAEB4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8933432"/>
        <c:axId val="14389373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'PIPR Annual change'!$C$7</c15:sqref>
                        </c15:formulaRef>
                      </c:ext>
                    </c:extLst>
                    <c:strCache>
                      <c:ptCount val="1"/>
                      <c:pt idx="0">
                        <c:v>Barking and Dagenham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'PIPR Annual change'!$C$8:$C$44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3.2888809999999999</c:v>
                      </c:pt>
                      <c:pt idx="1">
                        <c:v>3.3023600000000002</c:v>
                      </c:pt>
                      <c:pt idx="2">
                        <c:v>3.3401999999999998</c:v>
                      </c:pt>
                      <c:pt idx="3">
                        <c:v>3.463257</c:v>
                      </c:pt>
                      <c:pt idx="4">
                        <c:v>3.6215310000000001</c:v>
                      </c:pt>
                      <c:pt idx="5">
                        <c:v>4.0964809999999998</c:v>
                      </c:pt>
                      <c:pt idx="6">
                        <c:v>4.2993730000000001</c:v>
                      </c:pt>
                      <c:pt idx="7">
                        <c:v>4.4508229999999998</c:v>
                      </c:pt>
                      <c:pt idx="8">
                        <c:v>4.4761490000000004</c:v>
                      </c:pt>
                      <c:pt idx="9">
                        <c:v>4.7381010000000003</c:v>
                      </c:pt>
                      <c:pt idx="10">
                        <c:v>5.236726</c:v>
                      </c:pt>
                      <c:pt idx="11">
                        <c:v>5.6918879999999996</c:v>
                      </c:pt>
                      <c:pt idx="12">
                        <c:v>6.2059430000000004</c:v>
                      </c:pt>
                      <c:pt idx="13">
                        <c:v>6.7120800000000003</c:v>
                      </c:pt>
                      <c:pt idx="14">
                        <c:v>7.2356030000000002</c:v>
                      </c:pt>
                      <c:pt idx="15">
                        <c:v>7.5206679999999997</c:v>
                      </c:pt>
                      <c:pt idx="16">
                        <c:v>7.9143540000000003</c:v>
                      </c:pt>
                      <c:pt idx="17">
                        <c:v>7.9144170000000003</c:v>
                      </c:pt>
                      <c:pt idx="18">
                        <c:v>8.3685939999999999</c:v>
                      </c:pt>
                      <c:pt idx="19">
                        <c:v>8.8816629999999996</c:v>
                      </c:pt>
                      <c:pt idx="20">
                        <c:v>9.5690749999999998</c:v>
                      </c:pt>
                      <c:pt idx="21">
                        <c:v>10.021326</c:v>
                      </c:pt>
                      <c:pt idx="22">
                        <c:v>10.013695999999999</c:v>
                      </c:pt>
                      <c:pt idx="23">
                        <c:v>10.219109</c:v>
                      </c:pt>
                      <c:pt idx="24">
                        <c:v>10.211741</c:v>
                      </c:pt>
                      <c:pt idx="25">
                        <c:v>11.065165</c:v>
                      </c:pt>
                      <c:pt idx="26">
                        <c:v>11.700922</c:v>
                      </c:pt>
                      <c:pt idx="27">
                        <c:v>12.561189000000001</c:v>
                      </c:pt>
                      <c:pt idx="28">
                        <c:v>13.249587999999999</c:v>
                      </c:pt>
                      <c:pt idx="29">
                        <c:v>13.93845</c:v>
                      </c:pt>
                      <c:pt idx="30">
                        <c:v>14.028069</c:v>
                      </c:pt>
                      <c:pt idx="31">
                        <c:v>13.318225999999999</c:v>
                      </c:pt>
                      <c:pt idx="32">
                        <c:v>12.473356000000001</c:v>
                      </c:pt>
                      <c:pt idx="33">
                        <c:v>11.80531</c:v>
                      </c:pt>
                      <c:pt idx="34">
                        <c:v>11.406167</c:v>
                      </c:pt>
                      <c:pt idx="35">
                        <c:v>10.888097</c:v>
                      </c:pt>
                      <c:pt idx="36">
                        <c:v>10.406366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957-4E29-8472-37C5FAEB488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change'!$D$7</c15:sqref>
                        </c15:formulaRef>
                      </c:ext>
                    </c:extLst>
                    <c:strCache>
                      <c:ptCount val="1"/>
                      <c:pt idx="0">
                        <c:v>Barnet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change'!$D$8:$D$44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5.4294060000000002</c:v>
                      </c:pt>
                      <c:pt idx="1">
                        <c:v>5.4203580000000002</c:v>
                      </c:pt>
                      <c:pt idx="2">
                        <c:v>5.4407750000000004</c:v>
                      </c:pt>
                      <c:pt idx="3">
                        <c:v>6.1493659999999997</c:v>
                      </c:pt>
                      <c:pt idx="4">
                        <c:v>6.9988869999999999</c:v>
                      </c:pt>
                      <c:pt idx="5">
                        <c:v>8.1867129999999992</c:v>
                      </c:pt>
                      <c:pt idx="6">
                        <c:v>8.9687859999999997</c:v>
                      </c:pt>
                      <c:pt idx="7">
                        <c:v>9.5382189999999998</c:v>
                      </c:pt>
                      <c:pt idx="8">
                        <c:v>9.9230319999999992</c:v>
                      </c:pt>
                      <c:pt idx="9">
                        <c:v>10.212402000000001</c:v>
                      </c:pt>
                      <c:pt idx="10">
                        <c:v>10.322645</c:v>
                      </c:pt>
                      <c:pt idx="11">
                        <c:v>10.018350999999999</c:v>
                      </c:pt>
                      <c:pt idx="12">
                        <c:v>9.4856350000000003</c:v>
                      </c:pt>
                      <c:pt idx="13">
                        <c:v>9.2671510000000001</c:v>
                      </c:pt>
                      <c:pt idx="14">
                        <c:v>9.116619</c:v>
                      </c:pt>
                      <c:pt idx="15">
                        <c:v>8.6176209999999998</c:v>
                      </c:pt>
                      <c:pt idx="16">
                        <c:v>7.8835040000000003</c:v>
                      </c:pt>
                      <c:pt idx="17">
                        <c:v>6.9716170000000002</c:v>
                      </c:pt>
                      <c:pt idx="18">
                        <c:v>6.3089709999999997</c:v>
                      </c:pt>
                      <c:pt idx="19">
                        <c:v>6.0097560000000003</c:v>
                      </c:pt>
                      <c:pt idx="20">
                        <c:v>5.6884269999999999</c:v>
                      </c:pt>
                      <c:pt idx="21">
                        <c:v>5.6506569999999998</c:v>
                      </c:pt>
                      <c:pt idx="22">
                        <c:v>5.308433</c:v>
                      </c:pt>
                      <c:pt idx="23">
                        <c:v>5.2885289999999996</c:v>
                      </c:pt>
                      <c:pt idx="24">
                        <c:v>5.6766629999999996</c:v>
                      </c:pt>
                      <c:pt idx="25">
                        <c:v>6.1487220000000002</c:v>
                      </c:pt>
                      <c:pt idx="26">
                        <c:v>6.8561399999999999</c:v>
                      </c:pt>
                      <c:pt idx="27">
                        <c:v>7.2092890000000001</c:v>
                      </c:pt>
                      <c:pt idx="28">
                        <c:v>7.5414469999999998</c:v>
                      </c:pt>
                      <c:pt idx="29">
                        <c:v>7.2887709999999997</c:v>
                      </c:pt>
                      <c:pt idx="30">
                        <c:v>7.0663340000000003</c:v>
                      </c:pt>
                      <c:pt idx="31">
                        <c:v>6.8124289999999998</c:v>
                      </c:pt>
                      <c:pt idx="32">
                        <c:v>6.9377219999999999</c:v>
                      </c:pt>
                      <c:pt idx="33">
                        <c:v>6.8809800000000001</c:v>
                      </c:pt>
                      <c:pt idx="34">
                        <c:v>6.8734900000000003</c:v>
                      </c:pt>
                      <c:pt idx="35">
                        <c:v>6.7697779999999996</c:v>
                      </c:pt>
                      <c:pt idx="36">
                        <c:v>6.3457129999999999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957-4E29-8472-37C5FAEB488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change'!$E$7</c15:sqref>
                        </c15:formulaRef>
                      </c:ext>
                    </c:extLst>
                    <c:strCache>
                      <c:ptCount val="1"/>
                      <c:pt idx="0">
                        <c:v>Bexley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change'!$E$8:$E$44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5.2923239999999998</c:v>
                      </c:pt>
                      <c:pt idx="1">
                        <c:v>5.3027379999999997</c:v>
                      </c:pt>
                      <c:pt idx="2">
                        <c:v>5.7827570000000001</c:v>
                      </c:pt>
                      <c:pt idx="3">
                        <c:v>6.0771240000000004</c:v>
                      </c:pt>
                      <c:pt idx="4">
                        <c:v>6.7868550000000001</c:v>
                      </c:pt>
                      <c:pt idx="5">
                        <c:v>6.6759409999999999</c:v>
                      </c:pt>
                      <c:pt idx="6">
                        <c:v>6.466272</c:v>
                      </c:pt>
                      <c:pt idx="7">
                        <c:v>6.3692149999999996</c:v>
                      </c:pt>
                      <c:pt idx="8">
                        <c:v>6.0527230000000003</c:v>
                      </c:pt>
                      <c:pt idx="9">
                        <c:v>6.3025180000000001</c:v>
                      </c:pt>
                      <c:pt idx="10">
                        <c:v>6.3217359999999996</c:v>
                      </c:pt>
                      <c:pt idx="11">
                        <c:v>6.2619420000000003</c:v>
                      </c:pt>
                      <c:pt idx="12">
                        <c:v>6.1908500000000002</c:v>
                      </c:pt>
                      <c:pt idx="13">
                        <c:v>6.0714579999999998</c:v>
                      </c:pt>
                      <c:pt idx="14">
                        <c:v>6.1098699999999999</c:v>
                      </c:pt>
                      <c:pt idx="15">
                        <c:v>6.4103139999999996</c:v>
                      </c:pt>
                      <c:pt idx="16">
                        <c:v>6.5114850000000004</c:v>
                      </c:pt>
                      <c:pt idx="17">
                        <c:v>6.6305079999999998</c:v>
                      </c:pt>
                      <c:pt idx="18">
                        <c:v>6.4792759999999996</c:v>
                      </c:pt>
                      <c:pt idx="19">
                        <c:v>6.6117980000000003</c:v>
                      </c:pt>
                      <c:pt idx="20">
                        <c:v>7.6531510000000003</c:v>
                      </c:pt>
                      <c:pt idx="21">
                        <c:v>8.4226849999999995</c:v>
                      </c:pt>
                      <c:pt idx="22">
                        <c:v>9.3152699999999999</c:v>
                      </c:pt>
                      <c:pt idx="23">
                        <c:v>9.3168670000000002</c:v>
                      </c:pt>
                      <c:pt idx="24">
                        <c:v>9.2499540000000007</c:v>
                      </c:pt>
                      <c:pt idx="25">
                        <c:v>9.3372639999999993</c:v>
                      </c:pt>
                      <c:pt idx="26">
                        <c:v>9.3519450000000006</c:v>
                      </c:pt>
                      <c:pt idx="27">
                        <c:v>9.1673779999999994</c:v>
                      </c:pt>
                      <c:pt idx="28">
                        <c:v>10.467616</c:v>
                      </c:pt>
                      <c:pt idx="29">
                        <c:v>11.710448</c:v>
                      </c:pt>
                      <c:pt idx="30">
                        <c:v>13.323919</c:v>
                      </c:pt>
                      <c:pt idx="31">
                        <c:v>12.634769</c:v>
                      </c:pt>
                      <c:pt idx="32">
                        <c:v>11.380741</c:v>
                      </c:pt>
                      <c:pt idx="33">
                        <c:v>9.8879959999999993</c:v>
                      </c:pt>
                      <c:pt idx="34">
                        <c:v>8.9689069999999997</c:v>
                      </c:pt>
                      <c:pt idx="35">
                        <c:v>8.9454720000000005</c:v>
                      </c:pt>
                      <c:pt idx="36">
                        <c:v>9.0932030000000008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957-4E29-8472-37C5FAEB488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change'!$F$7</c15:sqref>
                        </c15:formulaRef>
                      </c:ext>
                    </c:extLst>
                    <c:strCache>
                      <c:ptCount val="1"/>
                      <c:pt idx="0">
                        <c:v>Brent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change'!$F$8:$F$44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3.113861</c:v>
                      </c:pt>
                      <c:pt idx="1">
                        <c:v>3.3452700000000002</c:v>
                      </c:pt>
                      <c:pt idx="2">
                        <c:v>3.613626</c:v>
                      </c:pt>
                      <c:pt idx="3">
                        <c:v>3.5132219999999998</c:v>
                      </c:pt>
                      <c:pt idx="4">
                        <c:v>4.193365</c:v>
                      </c:pt>
                      <c:pt idx="5">
                        <c:v>4.9693949999999996</c:v>
                      </c:pt>
                      <c:pt idx="6">
                        <c:v>6.1166749999999999</c:v>
                      </c:pt>
                      <c:pt idx="7">
                        <c:v>6.531142</c:v>
                      </c:pt>
                      <c:pt idx="8">
                        <c:v>7.6356390000000003</c:v>
                      </c:pt>
                      <c:pt idx="9">
                        <c:v>8.5051120000000004</c:v>
                      </c:pt>
                      <c:pt idx="10">
                        <c:v>9.9255849999999999</c:v>
                      </c:pt>
                      <c:pt idx="11">
                        <c:v>10.824593</c:v>
                      </c:pt>
                      <c:pt idx="12">
                        <c:v>12.744312000000001</c:v>
                      </c:pt>
                      <c:pt idx="13">
                        <c:v>19.749766000000001</c:v>
                      </c:pt>
                      <c:pt idx="14">
                        <c:v>26.309414</c:v>
                      </c:pt>
                      <c:pt idx="15">
                        <c:v>31.508611999999999</c:v>
                      </c:pt>
                      <c:pt idx="16">
                        <c:v>31.589182000000001</c:v>
                      </c:pt>
                      <c:pt idx="17">
                        <c:v>32.205044000000001</c:v>
                      </c:pt>
                      <c:pt idx="18">
                        <c:v>32.728579000000003</c:v>
                      </c:pt>
                      <c:pt idx="19">
                        <c:v>32.59984</c:v>
                      </c:pt>
                      <c:pt idx="20">
                        <c:v>31.042604000000001</c:v>
                      </c:pt>
                      <c:pt idx="21">
                        <c:v>29.807569999999998</c:v>
                      </c:pt>
                      <c:pt idx="22">
                        <c:v>27.837971</c:v>
                      </c:pt>
                      <c:pt idx="23">
                        <c:v>26.433834000000001</c:v>
                      </c:pt>
                      <c:pt idx="24">
                        <c:v>23.600258</c:v>
                      </c:pt>
                      <c:pt idx="25">
                        <c:v>15.759763</c:v>
                      </c:pt>
                      <c:pt idx="26">
                        <c:v>9.2079909999999998</c:v>
                      </c:pt>
                      <c:pt idx="27">
                        <c:v>2.7472349999999999</c:v>
                      </c:pt>
                      <c:pt idx="28">
                        <c:v>-6.9402000000000005E-2</c:v>
                      </c:pt>
                      <c:pt idx="29">
                        <c:v>-3.1213129999999998</c:v>
                      </c:pt>
                      <c:pt idx="30">
                        <c:v>-5.9199650000000004</c:v>
                      </c:pt>
                      <c:pt idx="31">
                        <c:v>-7.5783649999999998</c:v>
                      </c:pt>
                      <c:pt idx="32">
                        <c:v>-8.8647799999999997</c:v>
                      </c:pt>
                      <c:pt idx="33">
                        <c:v>-8.7912990000000004</c:v>
                      </c:pt>
                      <c:pt idx="34">
                        <c:v>-8.6630789999999998</c:v>
                      </c:pt>
                      <c:pt idx="35">
                        <c:v>-8.5646959999999996</c:v>
                      </c:pt>
                      <c:pt idx="36">
                        <c:v>-8.2629540000000006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957-4E29-8472-37C5FAEB488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change'!$G$7</c15:sqref>
                        </c15:formulaRef>
                      </c:ext>
                    </c:extLst>
                    <c:strCache>
                      <c:ptCount val="1"/>
                      <c:pt idx="0">
                        <c:v>Bromley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change'!$G$8:$G$44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4.3396990000000004</c:v>
                      </c:pt>
                      <c:pt idx="1">
                        <c:v>4.4840390000000001</c:v>
                      </c:pt>
                      <c:pt idx="2">
                        <c:v>4.5506279999999997</c:v>
                      </c:pt>
                      <c:pt idx="3">
                        <c:v>4.5339159999999996</c:v>
                      </c:pt>
                      <c:pt idx="4">
                        <c:v>4.5224739999999999</c:v>
                      </c:pt>
                      <c:pt idx="5">
                        <c:v>4.6542909999999997</c:v>
                      </c:pt>
                      <c:pt idx="6">
                        <c:v>4.8538019999999999</c:v>
                      </c:pt>
                      <c:pt idx="7">
                        <c:v>5.0975549999999998</c:v>
                      </c:pt>
                      <c:pt idx="8">
                        <c:v>5.4923120000000001</c:v>
                      </c:pt>
                      <c:pt idx="9">
                        <c:v>6.0794389999999998</c:v>
                      </c:pt>
                      <c:pt idx="10">
                        <c:v>6.7941520000000004</c:v>
                      </c:pt>
                      <c:pt idx="11">
                        <c:v>7.292135</c:v>
                      </c:pt>
                      <c:pt idx="12">
                        <c:v>7.510891</c:v>
                      </c:pt>
                      <c:pt idx="13">
                        <c:v>7.5855420000000002</c:v>
                      </c:pt>
                      <c:pt idx="14">
                        <c:v>7.6354480000000002</c:v>
                      </c:pt>
                      <c:pt idx="15">
                        <c:v>7.7435910000000003</c:v>
                      </c:pt>
                      <c:pt idx="16">
                        <c:v>7.7949149999999996</c:v>
                      </c:pt>
                      <c:pt idx="17">
                        <c:v>7.8931079999999998</c:v>
                      </c:pt>
                      <c:pt idx="18">
                        <c:v>7.9137839999999997</c:v>
                      </c:pt>
                      <c:pt idx="19">
                        <c:v>8.0398420000000002</c:v>
                      </c:pt>
                      <c:pt idx="20">
                        <c:v>7.9620980000000001</c:v>
                      </c:pt>
                      <c:pt idx="21">
                        <c:v>7.7839679999999998</c:v>
                      </c:pt>
                      <c:pt idx="22">
                        <c:v>7.5101519999999997</c:v>
                      </c:pt>
                      <c:pt idx="23">
                        <c:v>7.1596760000000002</c:v>
                      </c:pt>
                      <c:pt idx="24">
                        <c:v>6.8746650000000002</c:v>
                      </c:pt>
                      <c:pt idx="25">
                        <c:v>6.7156640000000003</c:v>
                      </c:pt>
                      <c:pt idx="26">
                        <c:v>6.6774180000000003</c:v>
                      </c:pt>
                      <c:pt idx="27">
                        <c:v>6.5385580000000001</c:v>
                      </c:pt>
                      <c:pt idx="28">
                        <c:v>6.4397979999999997</c:v>
                      </c:pt>
                      <c:pt idx="29">
                        <c:v>6.3477920000000001</c:v>
                      </c:pt>
                      <c:pt idx="30">
                        <c:v>6.0008889999999999</c:v>
                      </c:pt>
                      <c:pt idx="31">
                        <c:v>5.4568950000000003</c:v>
                      </c:pt>
                      <c:pt idx="32">
                        <c:v>4.8446160000000003</c:v>
                      </c:pt>
                      <c:pt idx="33">
                        <c:v>4.4646020000000002</c:v>
                      </c:pt>
                      <c:pt idx="34">
                        <c:v>4.0672309999999996</c:v>
                      </c:pt>
                      <c:pt idx="35">
                        <c:v>3.7864550000000001</c:v>
                      </c:pt>
                      <c:pt idx="36">
                        <c:v>3.7115429999999998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957-4E29-8472-37C5FAEB488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change'!$H$7</c15:sqref>
                        </c15:formulaRef>
                      </c:ext>
                    </c:extLst>
                    <c:strCache>
                      <c:ptCount val="1"/>
                      <c:pt idx="0">
                        <c:v>Camden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change'!$H$8:$H$44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6.9616540000000002</c:v>
                      </c:pt>
                      <c:pt idx="1">
                        <c:v>7.0984150000000001</c:v>
                      </c:pt>
                      <c:pt idx="2">
                        <c:v>5.9991490000000001</c:v>
                      </c:pt>
                      <c:pt idx="3">
                        <c:v>6.2645609999999996</c:v>
                      </c:pt>
                      <c:pt idx="4">
                        <c:v>7.3807020000000003</c:v>
                      </c:pt>
                      <c:pt idx="5">
                        <c:v>10.751735</c:v>
                      </c:pt>
                      <c:pt idx="6">
                        <c:v>13.335416</c:v>
                      </c:pt>
                      <c:pt idx="7">
                        <c:v>15.084892999999999</c:v>
                      </c:pt>
                      <c:pt idx="8">
                        <c:v>15.181279</c:v>
                      </c:pt>
                      <c:pt idx="9">
                        <c:v>15.505041</c:v>
                      </c:pt>
                      <c:pt idx="10">
                        <c:v>14.804964999999999</c:v>
                      </c:pt>
                      <c:pt idx="11">
                        <c:v>13.000586</c:v>
                      </c:pt>
                      <c:pt idx="12">
                        <c:v>11.245444000000001</c:v>
                      </c:pt>
                      <c:pt idx="13">
                        <c:v>9.6659000000000006</c:v>
                      </c:pt>
                      <c:pt idx="14">
                        <c:v>10.047974999999999</c:v>
                      </c:pt>
                      <c:pt idx="15">
                        <c:v>9.6910799999999995</c:v>
                      </c:pt>
                      <c:pt idx="16">
                        <c:v>8.8421269999999996</c:v>
                      </c:pt>
                      <c:pt idx="17">
                        <c:v>6.0127249999999997</c:v>
                      </c:pt>
                      <c:pt idx="18">
                        <c:v>4.0062759999999997</c:v>
                      </c:pt>
                      <c:pt idx="19">
                        <c:v>2.3443450000000001</c:v>
                      </c:pt>
                      <c:pt idx="20">
                        <c:v>2.44598</c:v>
                      </c:pt>
                      <c:pt idx="21">
                        <c:v>3.861478</c:v>
                      </c:pt>
                      <c:pt idx="22">
                        <c:v>8.0526710000000001</c:v>
                      </c:pt>
                      <c:pt idx="23">
                        <c:v>11.687443</c:v>
                      </c:pt>
                      <c:pt idx="24">
                        <c:v>13.938786</c:v>
                      </c:pt>
                      <c:pt idx="25">
                        <c:v>14.244871</c:v>
                      </c:pt>
                      <c:pt idx="26">
                        <c:v>14.142813</c:v>
                      </c:pt>
                      <c:pt idx="27">
                        <c:v>13.297931999999999</c:v>
                      </c:pt>
                      <c:pt idx="28">
                        <c:v>11.418977999999999</c:v>
                      </c:pt>
                      <c:pt idx="29">
                        <c:v>10.601552</c:v>
                      </c:pt>
                      <c:pt idx="30">
                        <c:v>10.434016</c:v>
                      </c:pt>
                      <c:pt idx="31">
                        <c:v>11.638671</c:v>
                      </c:pt>
                      <c:pt idx="32">
                        <c:v>11.113944</c:v>
                      </c:pt>
                      <c:pt idx="33">
                        <c:v>8.8127469999999999</c:v>
                      </c:pt>
                      <c:pt idx="34">
                        <c:v>2.3059880000000001</c:v>
                      </c:pt>
                      <c:pt idx="35">
                        <c:v>-3.244691</c:v>
                      </c:pt>
                      <c:pt idx="36">
                        <c:v>-7.786524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957-4E29-8472-37C5FAEB488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change'!$I$7</c15:sqref>
                        </c15:formulaRef>
                      </c:ext>
                    </c:extLst>
                    <c:strCache>
                      <c:ptCount val="1"/>
                      <c:pt idx="0">
                        <c:v>Croydon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change'!$I$8:$I$44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1.5439000000000001</c:v>
                      </c:pt>
                      <c:pt idx="1">
                        <c:v>1.8921289999999999</c:v>
                      </c:pt>
                      <c:pt idx="2">
                        <c:v>2.0840070000000002</c:v>
                      </c:pt>
                      <c:pt idx="3">
                        <c:v>2.390943</c:v>
                      </c:pt>
                      <c:pt idx="4">
                        <c:v>2.8040419999999999</c:v>
                      </c:pt>
                      <c:pt idx="5">
                        <c:v>3.4365130000000002</c:v>
                      </c:pt>
                      <c:pt idx="6">
                        <c:v>4.0892499999999998</c:v>
                      </c:pt>
                      <c:pt idx="7">
                        <c:v>4.5173949999999996</c:v>
                      </c:pt>
                      <c:pt idx="8">
                        <c:v>5.1595430000000002</c:v>
                      </c:pt>
                      <c:pt idx="9">
                        <c:v>6.1283519999999996</c:v>
                      </c:pt>
                      <c:pt idx="10">
                        <c:v>7.3777350000000004</c:v>
                      </c:pt>
                      <c:pt idx="11">
                        <c:v>8.1393900000000006</c:v>
                      </c:pt>
                      <c:pt idx="12">
                        <c:v>8.7079000000000004</c:v>
                      </c:pt>
                      <c:pt idx="13">
                        <c:v>9.2254109999999994</c:v>
                      </c:pt>
                      <c:pt idx="14">
                        <c:v>9.9347480000000008</c:v>
                      </c:pt>
                      <c:pt idx="15">
                        <c:v>10.722675000000001</c:v>
                      </c:pt>
                      <c:pt idx="16">
                        <c:v>11.057555000000001</c:v>
                      </c:pt>
                      <c:pt idx="17">
                        <c:v>10.846106000000001</c:v>
                      </c:pt>
                      <c:pt idx="18">
                        <c:v>10.632179000000001</c:v>
                      </c:pt>
                      <c:pt idx="19">
                        <c:v>10.801339</c:v>
                      </c:pt>
                      <c:pt idx="20">
                        <c:v>10.978532</c:v>
                      </c:pt>
                      <c:pt idx="21">
                        <c:v>10.844194999999999</c:v>
                      </c:pt>
                      <c:pt idx="22">
                        <c:v>10.280601000000001</c:v>
                      </c:pt>
                      <c:pt idx="23">
                        <c:v>9.9105310000000006</c:v>
                      </c:pt>
                      <c:pt idx="24">
                        <c:v>9.4472140000000007</c:v>
                      </c:pt>
                      <c:pt idx="25">
                        <c:v>9.0139899999999997</c:v>
                      </c:pt>
                      <c:pt idx="26">
                        <c:v>8.4426389999999998</c:v>
                      </c:pt>
                      <c:pt idx="27">
                        <c:v>7.6321440000000003</c:v>
                      </c:pt>
                      <c:pt idx="28">
                        <c:v>7.3595050000000004</c:v>
                      </c:pt>
                      <c:pt idx="29">
                        <c:v>7.3633509999999998</c:v>
                      </c:pt>
                      <c:pt idx="30">
                        <c:v>7.1130909999999998</c:v>
                      </c:pt>
                      <c:pt idx="31">
                        <c:v>6.4280939999999998</c:v>
                      </c:pt>
                      <c:pt idx="32">
                        <c:v>5.4616210000000001</c:v>
                      </c:pt>
                      <c:pt idx="33">
                        <c:v>4.9266969999999999</c:v>
                      </c:pt>
                      <c:pt idx="34">
                        <c:v>4.7026389999999996</c:v>
                      </c:pt>
                      <c:pt idx="35">
                        <c:v>4.5908340000000001</c:v>
                      </c:pt>
                      <c:pt idx="36">
                        <c:v>4.5566769999999996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957-4E29-8472-37C5FAEB488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change'!$J$7</c15:sqref>
                        </c15:formulaRef>
                      </c:ext>
                    </c:extLst>
                    <c:strCache>
                      <c:ptCount val="1"/>
                      <c:pt idx="0">
                        <c:v>Ealing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change'!$J$8:$J$44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1.733754</c:v>
                      </c:pt>
                      <c:pt idx="1">
                        <c:v>2.1677360000000001</c:v>
                      </c:pt>
                      <c:pt idx="2">
                        <c:v>2.705889</c:v>
                      </c:pt>
                      <c:pt idx="3">
                        <c:v>3.2308189999999999</c:v>
                      </c:pt>
                      <c:pt idx="4">
                        <c:v>3.7228759999999999</c:v>
                      </c:pt>
                      <c:pt idx="5">
                        <c:v>4.5529510000000002</c:v>
                      </c:pt>
                      <c:pt idx="6">
                        <c:v>5.6525790000000002</c:v>
                      </c:pt>
                      <c:pt idx="7">
                        <c:v>6.8630930000000001</c:v>
                      </c:pt>
                      <c:pt idx="8">
                        <c:v>7.5467649999999997</c:v>
                      </c:pt>
                      <c:pt idx="9">
                        <c:v>7.8824880000000004</c:v>
                      </c:pt>
                      <c:pt idx="10">
                        <c:v>8.3391529999999996</c:v>
                      </c:pt>
                      <c:pt idx="11">
                        <c:v>9.0858270000000001</c:v>
                      </c:pt>
                      <c:pt idx="12">
                        <c:v>9.5656130000000008</c:v>
                      </c:pt>
                      <c:pt idx="13">
                        <c:v>10.336864</c:v>
                      </c:pt>
                      <c:pt idx="14">
                        <c:v>10.950703000000001</c:v>
                      </c:pt>
                      <c:pt idx="15">
                        <c:v>11.424291999999999</c:v>
                      </c:pt>
                      <c:pt idx="16">
                        <c:v>11.567271</c:v>
                      </c:pt>
                      <c:pt idx="17">
                        <c:v>11.429532999999999</c:v>
                      </c:pt>
                      <c:pt idx="18">
                        <c:v>11.236440999999999</c:v>
                      </c:pt>
                      <c:pt idx="19">
                        <c:v>11.427607</c:v>
                      </c:pt>
                      <c:pt idx="20">
                        <c:v>12.339592</c:v>
                      </c:pt>
                      <c:pt idx="21">
                        <c:v>13.221492</c:v>
                      </c:pt>
                      <c:pt idx="22">
                        <c:v>14.012570999999999</c:v>
                      </c:pt>
                      <c:pt idx="23">
                        <c:v>14.382521000000001</c:v>
                      </c:pt>
                      <c:pt idx="24">
                        <c:v>14.828276000000001</c:v>
                      </c:pt>
                      <c:pt idx="25">
                        <c:v>14.193051000000001</c:v>
                      </c:pt>
                      <c:pt idx="26">
                        <c:v>13.200245000000001</c:v>
                      </c:pt>
                      <c:pt idx="27">
                        <c:v>12.398702999999999</c:v>
                      </c:pt>
                      <c:pt idx="28">
                        <c:v>11.934454000000001</c:v>
                      </c:pt>
                      <c:pt idx="29">
                        <c:v>11.533898000000001</c:v>
                      </c:pt>
                      <c:pt idx="30">
                        <c:v>10.487448000000001</c:v>
                      </c:pt>
                      <c:pt idx="31">
                        <c:v>9.0451940000000004</c:v>
                      </c:pt>
                      <c:pt idx="32">
                        <c:v>7.0573550000000003</c:v>
                      </c:pt>
                      <c:pt idx="33">
                        <c:v>5.2790619999999997</c:v>
                      </c:pt>
                      <c:pt idx="34">
                        <c:v>3.642744</c:v>
                      </c:pt>
                      <c:pt idx="35">
                        <c:v>2.5323910000000001</c:v>
                      </c:pt>
                      <c:pt idx="36">
                        <c:v>1.408118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957-4E29-8472-37C5FAEB488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change'!$K$7</c15:sqref>
                        </c15:formulaRef>
                      </c:ext>
                    </c:extLst>
                    <c:strCache>
                      <c:ptCount val="1"/>
                      <c:pt idx="0">
                        <c:v>Enfield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change'!$K$8:$K$44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3.9845280000000001</c:v>
                      </c:pt>
                      <c:pt idx="1">
                        <c:v>4.0239390000000004</c:v>
                      </c:pt>
                      <c:pt idx="2">
                        <c:v>4.0582079999999996</c:v>
                      </c:pt>
                      <c:pt idx="3">
                        <c:v>4.2022209999999998</c:v>
                      </c:pt>
                      <c:pt idx="4">
                        <c:v>4.6925819999999998</c:v>
                      </c:pt>
                      <c:pt idx="5">
                        <c:v>5.1604979999999996</c:v>
                      </c:pt>
                      <c:pt idx="6">
                        <c:v>5.4517660000000001</c:v>
                      </c:pt>
                      <c:pt idx="7">
                        <c:v>5.8205809999999998</c:v>
                      </c:pt>
                      <c:pt idx="8">
                        <c:v>6.3763319999999997</c:v>
                      </c:pt>
                      <c:pt idx="9">
                        <c:v>7.0888530000000003</c:v>
                      </c:pt>
                      <c:pt idx="10">
                        <c:v>7.5759860000000003</c:v>
                      </c:pt>
                      <c:pt idx="11">
                        <c:v>7.4741150000000003</c:v>
                      </c:pt>
                      <c:pt idx="12">
                        <c:v>7.0192610000000002</c:v>
                      </c:pt>
                      <c:pt idx="13">
                        <c:v>6.7396880000000001</c:v>
                      </c:pt>
                      <c:pt idx="14">
                        <c:v>6.8140970000000003</c:v>
                      </c:pt>
                      <c:pt idx="15">
                        <c:v>7.1158570000000001</c:v>
                      </c:pt>
                      <c:pt idx="16">
                        <c:v>7.3617749999999997</c:v>
                      </c:pt>
                      <c:pt idx="17">
                        <c:v>7.9155509999999998</c:v>
                      </c:pt>
                      <c:pt idx="18">
                        <c:v>8.5203930000000003</c:v>
                      </c:pt>
                      <c:pt idx="19">
                        <c:v>9.5294720000000002</c:v>
                      </c:pt>
                      <c:pt idx="20">
                        <c:v>9.8418080000000003</c:v>
                      </c:pt>
                      <c:pt idx="21">
                        <c:v>9.8583149999999993</c:v>
                      </c:pt>
                      <c:pt idx="22">
                        <c:v>9.7050630000000009</c:v>
                      </c:pt>
                      <c:pt idx="23">
                        <c:v>10.203642</c:v>
                      </c:pt>
                      <c:pt idx="24">
                        <c:v>11.142635</c:v>
                      </c:pt>
                      <c:pt idx="25">
                        <c:v>12.028559</c:v>
                      </c:pt>
                      <c:pt idx="26">
                        <c:v>12.521871000000001</c:v>
                      </c:pt>
                      <c:pt idx="27">
                        <c:v>12.231724</c:v>
                      </c:pt>
                      <c:pt idx="28">
                        <c:v>11.783692</c:v>
                      </c:pt>
                      <c:pt idx="29">
                        <c:v>10.958690000000001</c:v>
                      </c:pt>
                      <c:pt idx="30">
                        <c:v>10.170952</c:v>
                      </c:pt>
                      <c:pt idx="31">
                        <c:v>8.7910389999999996</c:v>
                      </c:pt>
                      <c:pt idx="32">
                        <c:v>7.5210689999999998</c:v>
                      </c:pt>
                      <c:pt idx="33">
                        <c:v>6.6324699999999996</c:v>
                      </c:pt>
                      <c:pt idx="34">
                        <c:v>6.1201610000000004</c:v>
                      </c:pt>
                      <c:pt idx="35">
                        <c:v>5.8001370000000003</c:v>
                      </c:pt>
                      <c:pt idx="36">
                        <c:v>5.1986119999999998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957-4E29-8472-37C5FAEB4880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change'!$L$7</c15:sqref>
                        </c15:formulaRef>
                      </c:ext>
                    </c:extLst>
                    <c:strCache>
                      <c:ptCount val="1"/>
                      <c:pt idx="0">
                        <c:v>Greenwich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change'!$L$8:$L$44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3.773447</c:v>
                      </c:pt>
                      <c:pt idx="1">
                        <c:v>3.8555259999999998</c:v>
                      </c:pt>
                      <c:pt idx="2">
                        <c:v>3.6196250000000001</c:v>
                      </c:pt>
                      <c:pt idx="3">
                        <c:v>3.8537020000000002</c:v>
                      </c:pt>
                      <c:pt idx="4">
                        <c:v>4.2228399999999997</c:v>
                      </c:pt>
                      <c:pt idx="5">
                        <c:v>5.2113959999999997</c:v>
                      </c:pt>
                      <c:pt idx="6">
                        <c:v>5.9744989999999998</c:v>
                      </c:pt>
                      <c:pt idx="7">
                        <c:v>6.517601</c:v>
                      </c:pt>
                      <c:pt idx="8">
                        <c:v>7.6462859999999999</c:v>
                      </c:pt>
                      <c:pt idx="9">
                        <c:v>9.7273350000000001</c:v>
                      </c:pt>
                      <c:pt idx="10">
                        <c:v>12.571370999999999</c:v>
                      </c:pt>
                      <c:pt idx="11">
                        <c:v>14.436443000000001</c:v>
                      </c:pt>
                      <c:pt idx="12">
                        <c:v>15.303566</c:v>
                      </c:pt>
                      <c:pt idx="13">
                        <c:v>15.678623999999999</c:v>
                      </c:pt>
                      <c:pt idx="14">
                        <c:v>16.084609</c:v>
                      </c:pt>
                      <c:pt idx="15">
                        <c:v>16.310434999999998</c:v>
                      </c:pt>
                      <c:pt idx="16">
                        <c:v>16.323605000000001</c:v>
                      </c:pt>
                      <c:pt idx="17">
                        <c:v>15.713706</c:v>
                      </c:pt>
                      <c:pt idx="18">
                        <c:v>15.177701000000001</c:v>
                      </c:pt>
                      <c:pt idx="19">
                        <c:v>14.965816999999999</c:v>
                      </c:pt>
                      <c:pt idx="20">
                        <c:v>13.750621000000001</c:v>
                      </c:pt>
                      <c:pt idx="21">
                        <c:v>11.509499</c:v>
                      </c:pt>
                      <c:pt idx="22">
                        <c:v>8.9400919999999999</c:v>
                      </c:pt>
                      <c:pt idx="23">
                        <c:v>7.4270779999999998</c:v>
                      </c:pt>
                      <c:pt idx="24">
                        <c:v>6.5084229999999996</c:v>
                      </c:pt>
                      <c:pt idx="25">
                        <c:v>5.7615489999999996</c:v>
                      </c:pt>
                      <c:pt idx="26">
                        <c:v>5.1543190000000001</c:v>
                      </c:pt>
                      <c:pt idx="27">
                        <c:v>4.6791530000000003</c:v>
                      </c:pt>
                      <c:pt idx="28">
                        <c:v>4.1440039999999998</c:v>
                      </c:pt>
                      <c:pt idx="29">
                        <c:v>3.8720349999999999</c:v>
                      </c:pt>
                      <c:pt idx="30">
                        <c:v>3.5996079999999999</c:v>
                      </c:pt>
                      <c:pt idx="31">
                        <c:v>3.3800240000000001</c:v>
                      </c:pt>
                      <c:pt idx="32">
                        <c:v>3.3954689999999998</c:v>
                      </c:pt>
                      <c:pt idx="33">
                        <c:v>3.3079230000000002</c:v>
                      </c:pt>
                      <c:pt idx="34">
                        <c:v>3.6070090000000001</c:v>
                      </c:pt>
                      <c:pt idx="35">
                        <c:v>3.848589</c:v>
                      </c:pt>
                      <c:pt idx="36">
                        <c:v>4.1930399999999999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957-4E29-8472-37C5FAEB4880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change'!$M$7</c15:sqref>
                        </c15:formulaRef>
                      </c:ext>
                    </c:extLst>
                    <c:strCache>
                      <c:ptCount val="1"/>
                      <c:pt idx="0">
                        <c:v>Hackney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change'!$M$8:$M$44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6.850873</c:v>
                      </c:pt>
                      <c:pt idx="1">
                        <c:v>7.1441379999999999</c:v>
                      </c:pt>
                      <c:pt idx="2">
                        <c:v>7.161727</c:v>
                      </c:pt>
                      <c:pt idx="3">
                        <c:v>7.0834260000000002</c:v>
                      </c:pt>
                      <c:pt idx="4">
                        <c:v>7.6896370000000003</c:v>
                      </c:pt>
                      <c:pt idx="5">
                        <c:v>8.6253290000000007</c:v>
                      </c:pt>
                      <c:pt idx="6">
                        <c:v>9.4099160000000008</c:v>
                      </c:pt>
                      <c:pt idx="7">
                        <c:v>9.4390199999999993</c:v>
                      </c:pt>
                      <c:pt idx="8">
                        <c:v>8.9933209999999999</c:v>
                      </c:pt>
                      <c:pt idx="9">
                        <c:v>8.8042960000000008</c:v>
                      </c:pt>
                      <c:pt idx="10">
                        <c:v>8.7091080000000005</c:v>
                      </c:pt>
                      <c:pt idx="11">
                        <c:v>8.4652329999999996</c:v>
                      </c:pt>
                      <c:pt idx="12">
                        <c:v>8.3224490000000007</c:v>
                      </c:pt>
                      <c:pt idx="13">
                        <c:v>8.4004429999999992</c:v>
                      </c:pt>
                      <c:pt idx="14">
                        <c:v>9.9452339999999992</c:v>
                      </c:pt>
                      <c:pt idx="15">
                        <c:v>11.306805000000001</c:v>
                      </c:pt>
                      <c:pt idx="16">
                        <c:v>12.347064</c:v>
                      </c:pt>
                      <c:pt idx="17">
                        <c:v>11.642554000000001</c:v>
                      </c:pt>
                      <c:pt idx="18">
                        <c:v>11.119728</c:v>
                      </c:pt>
                      <c:pt idx="19">
                        <c:v>10.970200999999999</c:v>
                      </c:pt>
                      <c:pt idx="20">
                        <c:v>11.346885</c:v>
                      </c:pt>
                      <c:pt idx="21">
                        <c:v>12.040279999999999</c:v>
                      </c:pt>
                      <c:pt idx="22">
                        <c:v>12.735258999999999</c:v>
                      </c:pt>
                      <c:pt idx="23">
                        <c:v>13.470931999999999</c:v>
                      </c:pt>
                      <c:pt idx="24">
                        <c:v>13.811847</c:v>
                      </c:pt>
                      <c:pt idx="25">
                        <c:v>13.625629999999999</c:v>
                      </c:pt>
                      <c:pt idx="26">
                        <c:v>12.424348</c:v>
                      </c:pt>
                      <c:pt idx="27">
                        <c:v>10.822870999999999</c:v>
                      </c:pt>
                      <c:pt idx="28">
                        <c:v>9.3378370000000004</c:v>
                      </c:pt>
                      <c:pt idx="29">
                        <c:v>9.0000859999999996</c:v>
                      </c:pt>
                      <c:pt idx="30">
                        <c:v>8.5980439999999998</c:v>
                      </c:pt>
                      <c:pt idx="31">
                        <c:v>8.3706040000000002</c:v>
                      </c:pt>
                      <c:pt idx="32">
                        <c:v>7.6329760000000002</c:v>
                      </c:pt>
                      <c:pt idx="33">
                        <c:v>6.4888380000000003</c:v>
                      </c:pt>
                      <c:pt idx="34">
                        <c:v>5.2872779999999997</c:v>
                      </c:pt>
                      <c:pt idx="35">
                        <c:v>4.2751939999999999</c:v>
                      </c:pt>
                      <c:pt idx="36">
                        <c:v>3.3077220000000001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957-4E29-8472-37C5FAEB4880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change'!$N$7</c15:sqref>
                        </c15:formulaRef>
                      </c:ext>
                    </c:extLst>
                    <c:strCache>
                      <c:ptCount val="1"/>
                      <c:pt idx="0">
                        <c:v>Hammersmith and Fulham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change'!$N$8:$N$44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5.2144899999999996</c:v>
                      </c:pt>
                      <c:pt idx="1">
                        <c:v>6.0246329999999997</c:v>
                      </c:pt>
                      <c:pt idx="2">
                        <c:v>6.1882950000000001</c:v>
                      </c:pt>
                      <c:pt idx="3">
                        <c:v>6.4196960000000001</c:v>
                      </c:pt>
                      <c:pt idx="4">
                        <c:v>6.9382989999999998</c:v>
                      </c:pt>
                      <c:pt idx="5">
                        <c:v>7.635046</c:v>
                      </c:pt>
                      <c:pt idx="6">
                        <c:v>8.7535270000000001</c:v>
                      </c:pt>
                      <c:pt idx="7">
                        <c:v>9.5757940000000001</c:v>
                      </c:pt>
                      <c:pt idx="8">
                        <c:v>10.373709</c:v>
                      </c:pt>
                      <c:pt idx="9">
                        <c:v>11.059663</c:v>
                      </c:pt>
                      <c:pt idx="10">
                        <c:v>11.391774</c:v>
                      </c:pt>
                      <c:pt idx="11">
                        <c:v>11.368952</c:v>
                      </c:pt>
                      <c:pt idx="12">
                        <c:v>11.023463</c:v>
                      </c:pt>
                      <c:pt idx="13">
                        <c:v>10.619828</c:v>
                      </c:pt>
                      <c:pt idx="14">
                        <c:v>10.748365</c:v>
                      </c:pt>
                      <c:pt idx="15">
                        <c:v>10.241002999999999</c:v>
                      </c:pt>
                      <c:pt idx="16">
                        <c:v>10.649927999999999</c:v>
                      </c:pt>
                      <c:pt idx="17">
                        <c:v>10.914635000000001</c:v>
                      </c:pt>
                      <c:pt idx="18">
                        <c:v>10.815144</c:v>
                      </c:pt>
                      <c:pt idx="19">
                        <c:v>9.7365840000000006</c:v>
                      </c:pt>
                      <c:pt idx="20">
                        <c:v>9.0190909999999995</c:v>
                      </c:pt>
                      <c:pt idx="21">
                        <c:v>8.9558</c:v>
                      </c:pt>
                      <c:pt idx="22">
                        <c:v>9.9243450000000006</c:v>
                      </c:pt>
                      <c:pt idx="23">
                        <c:v>10.522417000000001</c:v>
                      </c:pt>
                      <c:pt idx="24">
                        <c:v>11.18187</c:v>
                      </c:pt>
                      <c:pt idx="25">
                        <c:v>11.010111</c:v>
                      </c:pt>
                      <c:pt idx="26">
                        <c:v>11.069585</c:v>
                      </c:pt>
                      <c:pt idx="27">
                        <c:v>11.313526</c:v>
                      </c:pt>
                      <c:pt idx="28">
                        <c:v>10.160372000000001</c:v>
                      </c:pt>
                      <c:pt idx="29">
                        <c:v>8.8185830000000003</c:v>
                      </c:pt>
                      <c:pt idx="30">
                        <c:v>6.8412430000000004</c:v>
                      </c:pt>
                      <c:pt idx="31">
                        <c:v>6.129327</c:v>
                      </c:pt>
                      <c:pt idx="32">
                        <c:v>5.0620789999999998</c:v>
                      </c:pt>
                      <c:pt idx="33">
                        <c:v>4.3182520000000002</c:v>
                      </c:pt>
                      <c:pt idx="34">
                        <c:v>2.35955</c:v>
                      </c:pt>
                      <c:pt idx="35">
                        <c:v>0.61711700000000003</c:v>
                      </c:pt>
                      <c:pt idx="36">
                        <c:v>-0.96985900000000003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957-4E29-8472-37C5FAEB4880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change'!$O$7</c15:sqref>
                        </c15:formulaRef>
                      </c:ext>
                    </c:extLst>
                    <c:strCache>
                      <c:ptCount val="1"/>
                      <c:pt idx="0">
                        <c:v>Haringey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change'!$O$8:$O$44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5.9158970000000002</c:v>
                      </c:pt>
                      <c:pt idx="1">
                        <c:v>6.1063499999999999</c:v>
                      </c:pt>
                      <c:pt idx="2">
                        <c:v>6.731338</c:v>
                      </c:pt>
                      <c:pt idx="3">
                        <c:v>7.1097720000000004</c:v>
                      </c:pt>
                      <c:pt idx="4">
                        <c:v>7.7858809999999998</c:v>
                      </c:pt>
                      <c:pt idx="5">
                        <c:v>8.4619970000000002</c:v>
                      </c:pt>
                      <c:pt idx="6">
                        <c:v>9.3176050000000004</c:v>
                      </c:pt>
                      <c:pt idx="7">
                        <c:v>9.7711009999999998</c:v>
                      </c:pt>
                      <c:pt idx="8">
                        <c:v>9.9759089999999997</c:v>
                      </c:pt>
                      <c:pt idx="9">
                        <c:v>9.7674299999999992</c:v>
                      </c:pt>
                      <c:pt idx="10">
                        <c:v>8.9742169999999994</c:v>
                      </c:pt>
                      <c:pt idx="11">
                        <c:v>8.4471930000000004</c:v>
                      </c:pt>
                      <c:pt idx="12">
                        <c:v>7.7248200000000002</c:v>
                      </c:pt>
                      <c:pt idx="13">
                        <c:v>8.1347039999999993</c:v>
                      </c:pt>
                      <c:pt idx="14">
                        <c:v>8.4697429999999994</c:v>
                      </c:pt>
                      <c:pt idx="15">
                        <c:v>9.6366350000000001</c:v>
                      </c:pt>
                      <c:pt idx="16">
                        <c:v>9.9243620000000004</c:v>
                      </c:pt>
                      <c:pt idx="17">
                        <c:v>10.022622</c:v>
                      </c:pt>
                      <c:pt idx="18">
                        <c:v>9.8496629999999996</c:v>
                      </c:pt>
                      <c:pt idx="19">
                        <c:v>10.247903000000001</c:v>
                      </c:pt>
                      <c:pt idx="20">
                        <c:v>10.141356999999999</c:v>
                      </c:pt>
                      <c:pt idx="21">
                        <c:v>10.669167</c:v>
                      </c:pt>
                      <c:pt idx="22">
                        <c:v>11.049879000000001</c:v>
                      </c:pt>
                      <c:pt idx="23">
                        <c:v>11.803882</c:v>
                      </c:pt>
                      <c:pt idx="24">
                        <c:v>12.461778000000001</c:v>
                      </c:pt>
                      <c:pt idx="25">
                        <c:v>12.523026</c:v>
                      </c:pt>
                      <c:pt idx="26">
                        <c:v>12.475555</c:v>
                      </c:pt>
                      <c:pt idx="27">
                        <c:v>11.479447</c:v>
                      </c:pt>
                      <c:pt idx="28">
                        <c:v>10.794658</c:v>
                      </c:pt>
                      <c:pt idx="29">
                        <c:v>9.8609559999999998</c:v>
                      </c:pt>
                      <c:pt idx="30">
                        <c:v>9.0809060000000006</c:v>
                      </c:pt>
                      <c:pt idx="31">
                        <c:v>8.2573740000000004</c:v>
                      </c:pt>
                      <c:pt idx="32">
                        <c:v>7.7393989999999997</c:v>
                      </c:pt>
                      <c:pt idx="33">
                        <c:v>6.8594660000000003</c:v>
                      </c:pt>
                      <c:pt idx="34">
                        <c:v>6.0419840000000002</c:v>
                      </c:pt>
                      <c:pt idx="35">
                        <c:v>4.7076820000000001</c:v>
                      </c:pt>
                      <c:pt idx="36">
                        <c:v>3.5976490000000001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957-4E29-8472-37C5FAEB4880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change'!$P$7</c15:sqref>
                        </c15:formulaRef>
                      </c:ext>
                    </c:extLst>
                    <c:strCache>
                      <c:ptCount val="1"/>
                      <c:pt idx="0">
                        <c:v>Harrow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change'!$P$8:$P$44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3.8076029999999998</c:v>
                      </c:pt>
                      <c:pt idx="1">
                        <c:v>4.0056760000000002</c:v>
                      </c:pt>
                      <c:pt idx="2">
                        <c:v>4.1805599999999998</c:v>
                      </c:pt>
                      <c:pt idx="3">
                        <c:v>4.1483429999999997</c:v>
                      </c:pt>
                      <c:pt idx="4">
                        <c:v>4.177473</c:v>
                      </c:pt>
                      <c:pt idx="5">
                        <c:v>4.1788780000000001</c:v>
                      </c:pt>
                      <c:pt idx="6">
                        <c:v>4.3015509999999999</c:v>
                      </c:pt>
                      <c:pt idx="7">
                        <c:v>4.7100819999999999</c:v>
                      </c:pt>
                      <c:pt idx="8">
                        <c:v>5.4856350000000003</c:v>
                      </c:pt>
                      <c:pt idx="9">
                        <c:v>6.3703279999999998</c:v>
                      </c:pt>
                      <c:pt idx="10">
                        <c:v>7.2342199999999997</c:v>
                      </c:pt>
                      <c:pt idx="11">
                        <c:v>8.0499709999999993</c:v>
                      </c:pt>
                      <c:pt idx="12">
                        <c:v>8.7859309999999997</c:v>
                      </c:pt>
                      <c:pt idx="13">
                        <c:v>9.3774639999999998</c:v>
                      </c:pt>
                      <c:pt idx="14">
                        <c:v>9.9102700000000006</c:v>
                      </c:pt>
                      <c:pt idx="15">
                        <c:v>10.143138</c:v>
                      </c:pt>
                      <c:pt idx="16">
                        <c:v>10.294064000000001</c:v>
                      </c:pt>
                      <c:pt idx="17">
                        <c:v>10.558952</c:v>
                      </c:pt>
                      <c:pt idx="18">
                        <c:v>10.911493</c:v>
                      </c:pt>
                      <c:pt idx="19">
                        <c:v>11.124401000000001</c:v>
                      </c:pt>
                      <c:pt idx="20">
                        <c:v>10.898814</c:v>
                      </c:pt>
                      <c:pt idx="21">
                        <c:v>10.772266</c:v>
                      </c:pt>
                      <c:pt idx="22">
                        <c:v>10.596511</c:v>
                      </c:pt>
                      <c:pt idx="23">
                        <c:v>10.259594999999999</c:v>
                      </c:pt>
                      <c:pt idx="24">
                        <c:v>9.8197360000000007</c:v>
                      </c:pt>
                      <c:pt idx="25">
                        <c:v>9.3775189999999995</c:v>
                      </c:pt>
                      <c:pt idx="26">
                        <c:v>8.6676680000000008</c:v>
                      </c:pt>
                      <c:pt idx="27">
                        <c:v>8.1768389999999993</c:v>
                      </c:pt>
                      <c:pt idx="28">
                        <c:v>7.7338100000000001</c:v>
                      </c:pt>
                      <c:pt idx="29">
                        <c:v>7.520454</c:v>
                      </c:pt>
                      <c:pt idx="30">
                        <c:v>6.956582</c:v>
                      </c:pt>
                      <c:pt idx="31">
                        <c:v>6.3803510000000001</c:v>
                      </c:pt>
                      <c:pt idx="32">
                        <c:v>5.680809</c:v>
                      </c:pt>
                      <c:pt idx="33">
                        <c:v>4.891553</c:v>
                      </c:pt>
                      <c:pt idx="34">
                        <c:v>4.1659889999999997</c:v>
                      </c:pt>
                      <c:pt idx="35">
                        <c:v>3.650741</c:v>
                      </c:pt>
                      <c:pt idx="36">
                        <c:v>3.3067069999999998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957-4E29-8472-37C5FAEB4880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change'!$Q$7</c15:sqref>
                        </c15:formulaRef>
                      </c:ext>
                    </c:extLst>
                    <c:strCache>
                      <c:ptCount val="1"/>
                      <c:pt idx="0">
                        <c:v>Havering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change'!$Q$8:$Q$44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3.2703739999999999</c:v>
                      </c:pt>
                      <c:pt idx="1">
                        <c:v>3.565035</c:v>
                      </c:pt>
                      <c:pt idx="2">
                        <c:v>4.0120630000000004</c:v>
                      </c:pt>
                      <c:pt idx="3">
                        <c:v>4.526745</c:v>
                      </c:pt>
                      <c:pt idx="4">
                        <c:v>5.1542339999999998</c:v>
                      </c:pt>
                      <c:pt idx="5">
                        <c:v>5.8877860000000002</c:v>
                      </c:pt>
                      <c:pt idx="6">
                        <c:v>5.9666199999999998</c:v>
                      </c:pt>
                      <c:pt idx="7">
                        <c:v>6.1616109999999997</c:v>
                      </c:pt>
                      <c:pt idx="8">
                        <c:v>6.1441730000000003</c:v>
                      </c:pt>
                      <c:pt idx="9">
                        <c:v>6.787128</c:v>
                      </c:pt>
                      <c:pt idx="10">
                        <c:v>7.2080359999999999</c:v>
                      </c:pt>
                      <c:pt idx="11">
                        <c:v>7.4856800000000003</c:v>
                      </c:pt>
                      <c:pt idx="12">
                        <c:v>7.5727529999999996</c:v>
                      </c:pt>
                      <c:pt idx="13">
                        <c:v>7.9564310000000003</c:v>
                      </c:pt>
                      <c:pt idx="14">
                        <c:v>8.4393860000000007</c:v>
                      </c:pt>
                      <c:pt idx="15">
                        <c:v>9.3097770000000004</c:v>
                      </c:pt>
                      <c:pt idx="16">
                        <c:v>9.9139119999999998</c:v>
                      </c:pt>
                      <c:pt idx="17">
                        <c:v>10.448067</c:v>
                      </c:pt>
                      <c:pt idx="18">
                        <c:v>10.700794999999999</c:v>
                      </c:pt>
                      <c:pt idx="19">
                        <c:v>10.768848999999999</c:v>
                      </c:pt>
                      <c:pt idx="20">
                        <c:v>10.904622</c:v>
                      </c:pt>
                      <c:pt idx="21">
                        <c:v>10.747864</c:v>
                      </c:pt>
                      <c:pt idx="22">
                        <c:v>10.782465</c:v>
                      </c:pt>
                      <c:pt idx="23">
                        <c:v>10.690301</c:v>
                      </c:pt>
                      <c:pt idx="24">
                        <c:v>10.690264000000001</c:v>
                      </c:pt>
                      <c:pt idx="25">
                        <c:v>10.618034</c:v>
                      </c:pt>
                      <c:pt idx="26">
                        <c:v>10.344486</c:v>
                      </c:pt>
                      <c:pt idx="27">
                        <c:v>9.9707559999999997</c:v>
                      </c:pt>
                      <c:pt idx="28">
                        <c:v>9.6539859999999997</c:v>
                      </c:pt>
                      <c:pt idx="29">
                        <c:v>9.3858979999999992</c:v>
                      </c:pt>
                      <c:pt idx="30">
                        <c:v>9.2601379999999995</c:v>
                      </c:pt>
                      <c:pt idx="31">
                        <c:v>9.232818</c:v>
                      </c:pt>
                      <c:pt idx="32">
                        <c:v>9.1897859999999998</c:v>
                      </c:pt>
                      <c:pt idx="33">
                        <c:v>9.0090179999999993</c:v>
                      </c:pt>
                      <c:pt idx="34">
                        <c:v>8.3428520000000006</c:v>
                      </c:pt>
                      <c:pt idx="35">
                        <c:v>7.8170539999999997</c:v>
                      </c:pt>
                      <c:pt idx="36">
                        <c:v>7.2467639999999998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957-4E29-8472-37C5FAEB4880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change'!$R$7</c15:sqref>
                        </c15:formulaRef>
                      </c:ext>
                    </c:extLst>
                    <c:strCache>
                      <c:ptCount val="1"/>
                      <c:pt idx="0">
                        <c:v>Hillingdon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change'!$R$8:$R$44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2.9549569999999998</c:v>
                      </c:pt>
                      <c:pt idx="1">
                        <c:v>3.3632200000000001</c:v>
                      </c:pt>
                      <c:pt idx="2">
                        <c:v>3.8760669999999999</c:v>
                      </c:pt>
                      <c:pt idx="3">
                        <c:v>4.3079390000000002</c:v>
                      </c:pt>
                      <c:pt idx="4">
                        <c:v>4.9053800000000001</c:v>
                      </c:pt>
                      <c:pt idx="5">
                        <c:v>5.978885</c:v>
                      </c:pt>
                      <c:pt idx="6">
                        <c:v>7.208412</c:v>
                      </c:pt>
                      <c:pt idx="7">
                        <c:v>7.9872249999999996</c:v>
                      </c:pt>
                      <c:pt idx="8">
                        <c:v>7.9971160000000001</c:v>
                      </c:pt>
                      <c:pt idx="9">
                        <c:v>7.8860570000000001</c:v>
                      </c:pt>
                      <c:pt idx="10">
                        <c:v>8.4778559999999992</c:v>
                      </c:pt>
                      <c:pt idx="11">
                        <c:v>9.2973060000000007</c:v>
                      </c:pt>
                      <c:pt idx="12">
                        <c:v>10.033223</c:v>
                      </c:pt>
                      <c:pt idx="13">
                        <c:v>10.454839</c:v>
                      </c:pt>
                      <c:pt idx="14">
                        <c:v>10.702769999999999</c:v>
                      </c:pt>
                      <c:pt idx="15">
                        <c:v>11.196336000000001</c:v>
                      </c:pt>
                      <c:pt idx="16">
                        <c:v>11.511835</c:v>
                      </c:pt>
                      <c:pt idx="17">
                        <c:v>12.133792</c:v>
                      </c:pt>
                      <c:pt idx="18">
                        <c:v>12.417998000000001</c:v>
                      </c:pt>
                      <c:pt idx="19">
                        <c:v>11.725155000000001</c:v>
                      </c:pt>
                      <c:pt idx="20">
                        <c:v>10.811776999999999</c:v>
                      </c:pt>
                      <c:pt idx="21">
                        <c:v>10.217001</c:v>
                      </c:pt>
                      <c:pt idx="22">
                        <c:v>10.409292000000001</c:v>
                      </c:pt>
                      <c:pt idx="23">
                        <c:v>10.529982</c:v>
                      </c:pt>
                      <c:pt idx="24">
                        <c:v>10.260116999999999</c:v>
                      </c:pt>
                      <c:pt idx="25">
                        <c:v>10.008566</c:v>
                      </c:pt>
                      <c:pt idx="26">
                        <c:v>9.7663650000000004</c:v>
                      </c:pt>
                      <c:pt idx="27">
                        <c:v>9.2363400000000002</c:v>
                      </c:pt>
                      <c:pt idx="28">
                        <c:v>8.8655469999999994</c:v>
                      </c:pt>
                      <c:pt idx="29">
                        <c:v>8.1730800000000006</c:v>
                      </c:pt>
                      <c:pt idx="30">
                        <c:v>7.086379</c:v>
                      </c:pt>
                      <c:pt idx="31">
                        <c:v>5.9969919999999997</c:v>
                      </c:pt>
                      <c:pt idx="32">
                        <c:v>5.1178850000000002</c:v>
                      </c:pt>
                      <c:pt idx="33">
                        <c:v>4.4807119999999996</c:v>
                      </c:pt>
                      <c:pt idx="34">
                        <c:v>3.7114989999999999</c:v>
                      </c:pt>
                      <c:pt idx="35">
                        <c:v>2.9997929999999999</c:v>
                      </c:pt>
                      <c:pt idx="36">
                        <c:v>2.5315690000000002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957-4E29-8472-37C5FAEB4880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change'!$S$7</c15:sqref>
                        </c15:formulaRef>
                      </c:ext>
                    </c:extLst>
                    <c:strCache>
                      <c:ptCount val="1"/>
                      <c:pt idx="0">
                        <c:v>Hounslow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change'!$S$8:$S$44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7.7044709999999998</c:v>
                      </c:pt>
                      <c:pt idx="1">
                        <c:v>7.682474</c:v>
                      </c:pt>
                      <c:pt idx="2">
                        <c:v>6.8201260000000001</c:v>
                      </c:pt>
                      <c:pt idx="3">
                        <c:v>5.8856219999999997</c:v>
                      </c:pt>
                      <c:pt idx="4">
                        <c:v>4.900366</c:v>
                      </c:pt>
                      <c:pt idx="5">
                        <c:v>5.6329349999999998</c:v>
                      </c:pt>
                      <c:pt idx="6">
                        <c:v>6.677943</c:v>
                      </c:pt>
                      <c:pt idx="7">
                        <c:v>9.0166389999999996</c:v>
                      </c:pt>
                      <c:pt idx="8">
                        <c:v>10.433161</c:v>
                      </c:pt>
                      <c:pt idx="9">
                        <c:v>12.041131999999999</c:v>
                      </c:pt>
                      <c:pt idx="10">
                        <c:v>12.605684</c:v>
                      </c:pt>
                      <c:pt idx="11">
                        <c:v>12.989710000000001</c:v>
                      </c:pt>
                      <c:pt idx="12">
                        <c:v>12.677701000000001</c:v>
                      </c:pt>
                      <c:pt idx="13">
                        <c:v>12.092466</c:v>
                      </c:pt>
                      <c:pt idx="14">
                        <c:v>12.10177</c:v>
                      </c:pt>
                      <c:pt idx="15">
                        <c:v>12.213531</c:v>
                      </c:pt>
                      <c:pt idx="16">
                        <c:v>12.690835</c:v>
                      </c:pt>
                      <c:pt idx="17">
                        <c:v>12.391772</c:v>
                      </c:pt>
                      <c:pt idx="18">
                        <c:v>12.291460000000001</c:v>
                      </c:pt>
                      <c:pt idx="19">
                        <c:v>11.688268000000001</c:v>
                      </c:pt>
                      <c:pt idx="20">
                        <c:v>11.712396</c:v>
                      </c:pt>
                      <c:pt idx="21">
                        <c:v>12.445731</c:v>
                      </c:pt>
                      <c:pt idx="22">
                        <c:v>13.599855</c:v>
                      </c:pt>
                      <c:pt idx="23">
                        <c:v>14.092351000000001</c:v>
                      </c:pt>
                      <c:pt idx="24">
                        <c:v>13.754629</c:v>
                      </c:pt>
                      <c:pt idx="25">
                        <c:v>12.831294</c:v>
                      </c:pt>
                      <c:pt idx="26">
                        <c:v>11.959298</c:v>
                      </c:pt>
                      <c:pt idx="27">
                        <c:v>11.411733</c:v>
                      </c:pt>
                      <c:pt idx="28">
                        <c:v>11.230891</c:v>
                      </c:pt>
                      <c:pt idx="29">
                        <c:v>11.079922</c:v>
                      </c:pt>
                      <c:pt idx="30">
                        <c:v>10.139378000000001</c:v>
                      </c:pt>
                      <c:pt idx="31">
                        <c:v>8.5538749999999997</c:v>
                      </c:pt>
                      <c:pt idx="32">
                        <c:v>6.4951270000000001</c:v>
                      </c:pt>
                      <c:pt idx="33">
                        <c:v>3.8764370000000001</c:v>
                      </c:pt>
                      <c:pt idx="34">
                        <c:v>2.1600389999999998</c:v>
                      </c:pt>
                      <c:pt idx="35">
                        <c:v>1.1072310000000001</c:v>
                      </c:pt>
                      <c:pt idx="36">
                        <c:v>1.0904480000000001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957-4E29-8472-37C5FAEB4880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change'!$T$7</c15:sqref>
                        </c15:formulaRef>
                      </c:ext>
                    </c:extLst>
                    <c:strCache>
                      <c:ptCount val="1"/>
                      <c:pt idx="0">
                        <c:v>Islington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change'!$T$8:$T$44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7.1428419999999999</c:v>
                      </c:pt>
                      <c:pt idx="1">
                        <c:v>7.0250469999999998</c:v>
                      </c:pt>
                      <c:pt idx="2">
                        <c:v>7.4006860000000003</c:v>
                      </c:pt>
                      <c:pt idx="3">
                        <c:v>7.2552380000000003</c:v>
                      </c:pt>
                      <c:pt idx="4">
                        <c:v>8.2537929999999999</c:v>
                      </c:pt>
                      <c:pt idx="5">
                        <c:v>9.5738479999999999</c:v>
                      </c:pt>
                      <c:pt idx="6">
                        <c:v>10.999601999999999</c:v>
                      </c:pt>
                      <c:pt idx="7">
                        <c:v>11.932480999999999</c:v>
                      </c:pt>
                      <c:pt idx="8">
                        <c:v>12.955225</c:v>
                      </c:pt>
                      <c:pt idx="9">
                        <c:v>13.591486</c:v>
                      </c:pt>
                      <c:pt idx="10">
                        <c:v>13.736713999999999</c:v>
                      </c:pt>
                      <c:pt idx="11">
                        <c:v>13.50736</c:v>
                      </c:pt>
                      <c:pt idx="12">
                        <c:v>13.058922000000001</c:v>
                      </c:pt>
                      <c:pt idx="13">
                        <c:v>13.833348000000001</c:v>
                      </c:pt>
                      <c:pt idx="14">
                        <c:v>14.580304</c:v>
                      </c:pt>
                      <c:pt idx="15">
                        <c:v>15.614411</c:v>
                      </c:pt>
                      <c:pt idx="16">
                        <c:v>15.298477</c:v>
                      </c:pt>
                      <c:pt idx="17">
                        <c:v>14.819782999999999</c:v>
                      </c:pt>
                      <c:pt idx="18">
                        <c:v>14.277139999999999</c:v>
                      </c:pt>
                      <c:pt idx="19">
                        <c:v>13.913694</c:v>
                      </c:pt>
                      <c:pt idx="20">
                        <c:v>12.915967999999999</c:v>
                      </c:pt>
                      <c:pt idx="21">
                        <c:v>12.296583999999999</c:v>
                      </c:pt>
                      <c:pt idx="22">
                        <c:v>12.312341999999999</c:v>
                      </c:pt>
                      <c:pt idx="23">
                        <c:v>12.859869</c:v>
                      </c:pt>
                      <c:pt idx="24">
                        <c:v>12.801360000000001</c:v>
                      </c:pt>
                      <c:pt idx="25">
                        <c:v>11.925502</c:v>
                      </c:pt>
                      <c:pt idx="26">
                        <c:v>10.642582000000001</c:v>
                      </c:pt>
                      <c:pt idx="27">
                        <c:v>9.3639460000000003</c:v>
                      </c:pt>
                      <c:pt idx="28">
                        <c:v>8.1367999999999991</c:v>
                      </c:pt>
                      <c:pt idx="29">
                        <c:v>7.0944330000000004</c:v>
                      </c:pt>
                      <c:pt idx="30">
                        <c:v>6.1015649999999999</c:v>
                      </c:pt>
                      <c:pt idx="31">
                        <c:v>5.3826960000000001</c:v>
                      </c:pt>
                      <c:pt idx="32">
                        <c:v>4.7142429999999997</c:v>
                      </c:pt>
                      <c:pt idx="33">
                        <c:v>3.9122270000000001</c:v>
                      </c:pt>
                      <c:pt idx="34">
                        <c:v>3.0811310000000001</c:v>
                      </c:pt>
                      <c:pt idx="35">
                        <c:v>2.0224869999999999</c:v>
                      </c:pt>
                      <c:pt idx="36">
                        <c:v>1.139243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957-4E29-8472-37C5FAEB4880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change'!$U$7</c15:sqref>
                        </c15:formulaRef>
                      </c:ext>
                    </c:extLst>
                    <c:strCache>
                      <c:ptCount val="1"/>
                      <c:pt idx="0">
                        <c:v>Kensington and Chelsea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change'!$U$8:$U$44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11.081697</c:v>
                      </c:pt>
                      <c:pt idx="1">
                        <c:v>11.493823000000001</c:v>
                      </c:pt>
                      <c:pt idx="2">
                        <c:v>12.975968999999999</c:v>
                      </c:pt>
                      <c:pt idx="3">
                        <c:v>14.295123999999999</c:v>
                      </c:pt>
                      <c:pt idx="4">
                        <c:v>15.136065</c:v>
                      </c:pt>
                      <c:pt idx="5">
                        <c:v>14.726103999999999</c:v>
                      </c:pt>
                      <c:pt idx="6">
                        <c:v>13.708874</c:v>
                      </c:pt>
                      <c:pt idx="7">
                        <c:v>12.823656</c:v>
                      </c:pt>
                      <c:pt idx="8">
                        <c:v>11.466418000000001</c:v>
                      </c:pt>
                      <c:pt idx="9">
                        <c:v>11.073169</c:v>
                      </c:pt>
                      <c:pt idx="10">
                        <c:v>10.485906999999999</c:v>
                      </c:pt>
                      <c:pt idx="11">
                        <c:v>10.436088</c:v>
                      </c:pt>
                      <c:pt idx="12">
                        <c:v>10.081011999999999</c:v>
                      </c:pt>
                      <c:pt idx="13">
                        <c:v>9.3771900000000006</c:v>
                      </c:pt>
                      <c:pt idx="14">
                        <c:v>9.0099970000000003</c:v>
                      </c:pt>
                      <c:pt idx="15">
                        <c:v>8.8507840000000009</c:v>
                      </c:pt>
                      <c:pt idx="16">
                        <c:v>9.176202</c:v>
                      </c:pt>
                      <c:pt idx="17">
                        <c:v>8.9476340000000008</c:v>
                      </c:pt>
                      <c:pt idx="18">
                        <c:v>8.8263149999999992</c:v>
                      </c:pt>
                      <c:pt idx="19">
                        <c:v>8.7213250000000002</c:v>
                      </c:pt>
                      <c:pt idx="20">
                        <c:v>9.3180040000000002</c:v>
                      </c:pt>
                      <c:pt idx="21">
                        <c:v>9.5336739999999995</c:v>
                      </c:pt>
                      <c:pt idx="22">
                        <c:v>10.751122000000001</c:v>
                      </c:pt>
                      <c:pt idx="23">
                        <c:v>11.968057999999999</c:v>
                      </c:pt>
                      <c:pt idx="24">
                        <c:v>12.167221</c:v>
                      </c:pt>
                      <c:pt idx="25">
                        <c:v>12.138026</c:v>
                      </c:pt>
                      <c:pt idx="26">
                        <c:v>10.254936000000001</c:v>
                      </c:pt>
                      <c:pt idx="27">
                        <c:v>9.3134890000000006</c:v>
                      </c:pt>
                      <c:pt idx="28">
                        <c:v>7.075482</c:v>
                      </c:pt>
                      <c:pt idx="29">
                        <c:v>5.9466559999999999</c:v>
                      </c:pt>
                      <c:pt idx="30">
                        <c:v>5.162102</c:v>
                      </c:pt>
                      <c:pt idx="31">
                        <c:v>5.2807919999999999</c:v>
                      </c:pt>
                      <c:pt idx="32">
                        <c:v>5.1402809999999999</c:v>
                      </c:pt>
                      <c:pt idx="33">
                        <c:v>4.6905590000000004</c:v>
                      </c:pt>
                      <c:pt idx="34">
                        <c:v>3.0160390000000001</c:v>
                      </c:pt>
                      <c:pt idx="35">
                        <c:v>1.5582320000000001</c:v>
                      </c:pt>
                      <c:pt idx="36">
                        <c:v>0.39245099999999999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957-4E29-8472-37C5FAEB4880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change'!$V$7</c15:sqref>
                        </c15:formulaRef>
                      </c:ext>
                    </c:extLst>
                    <c:strCache>
                      <c:ptCount val="1"/>
                      <c:pt idx="0">
                        <c:v>Kingston upon Thames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change'!$V$8:$V$44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3.2112319999999999</c:v>
                      </c:pt>
                      <c:pt idx="1">
                        <c:v>3.5002659999999999</c:v>
                      </c:pt>
                      <c:pt idx="2">
                        <c:v>4.2729429999999997</c:v>
                      </c:pt>
                      <c:pt idx="3">
                        <c:v>4.601464</c:v>
                      </c:pt>
                      <c:pt idx="4">
                        <c:v>4.939324</c:v>
                      </c:pt>
                      <c:pt idx="5">
                        <c:v>5.1944710000000001</c:v>
                      </c:pt>
                      <c:pt idx="6">
                        <c:v>5.5227349999999999</c:v>
                      </c:pt>
                      <c:pt idx="7">
                        <c:v>5.7726819999999996</c:v>
                      </c:pt>
                      <c:pt idx="8">
                        <c:v>5.8311289999999998</c:v>
                      </c:pt>
                      <c:pt idx="9">
                        <c:v>6.2961029999999996</c:v>
                      </c:pt>
                      <c:pt idx="10">
                        <c:v>7.167503</c:v>
                      </c:pt>
                      <c:pt idx="11">
                        <c:v>8.3237699999999997</c:v>
                      </c:pt>
                      <c:pt idx="12">
                        <c:v>8.8168430000000004</c:v>
                      </c:pt>
                      <c:pt idx="13">
                        <c:v>8.5946750000000005</c:v>
                      </c:pt>
                      <c:pt idx="14">
                        <c:v>7.7145320000000002</c:v>
                      </c:pt>
                      <c:pt idx="15">
                        <c:v>7.1214639999999996</c:v>
                      </c:pt>
                      <c:pt idx="16">
                        <c:v>6.669232</c:v>
                      </c:pt>
                      <c:pt idx="17">
                        <c:v>6.4541709999999997</c:v>
                      </c:pt>
                      <c:pt idx="18">
                        <c:v>6.5638829999999997</c:v>
                      </c:pt>
                      <c:pt idx="19">
                        <c:v>6.774165</c:v>
                      </c:pt>
                      <c:pt idx="20">
                        <c:v>7.3009550000000001</c:v>
                      </c:pt>
                      <c:pt idx="21">
                        <c:v>7.3938889999999997</c:v>
                      </c:pt>
                      <c:pt idx="22">
                        <c:v>7.208361</c:v>
                      </c:pt>
                      <c:pt idx="23">
                        <c:v>6.4728890000000003</c:v>
                      </c:pt>
                      <c:pt idx="24">
                        <c:v>5.9450760000000002</c:v>
                      </c:pt>
                      <c:pt idx="25">
                        <c:v>5.6826749999999997</c:v>
                      </c:pt>
                      <c:pt idx="26">
                        <c:v>5.8147849999999996</c:v>
                      </c:pt>
                      <c:pt idx="27">
                        <c:v>6.6286430000000003</c:v>
                      </c:pt>
                      <c:pt idx="28">
                        <c:v>8.3574210000000004</c:v>
                      </c:pt>
                      <c:pt idx="29">
                        <c:v>10.08994</c:v>
                      </c:pt>
                      <c:pt idx="30">
                        <c:v>10.349296000000001</c:v>
                      </c:pt>
                      <c:pt idx="31">
                        <c:v>9.8018009999999993</c:v>
                      </c:pt>
                      <c:pt idx="32">
                        <c:v>8.6276329999999994</c:v>
                      </c:pt>
                      <c:pt idx="33">
                        <c:v>7.9949539999999999</c:v>
                      </c:pt>
                      <c:pt idx="34">
                        <c:v>7.0547810000000002</c:v>
                      </c:pt>
                      <c:pt idx="35">
                        <c:v>6.5444699999999996</c:v>
                      </c:pt>
                      <c:pt idx="36">
                        <c:v>5.3890380000000002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957-4E29-8472-37C5FAEB4880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change'!$W$7</c15:sqref>
                        </c15:formulaRef>
                      </c:ext>
                    </c:extLst>
                    <c:strCache>
                      <c:ptCount val="1"/>
                      <c:pt idx="0">
                        <c:v>Lambeth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change'!$W$8:$W$44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5.6842170000000003</c:v>
                      </c:pt>
                      <c:pt idx="1">
                        <c:v>5.6119830000000004</c:v>
                      </c:pt>
                      <c:pt idx="2">
                        <c:v>5.9181480000000004</c:v>
                      </c:pt>
                      <c:pt idx="3">
                        <c:v>5.8943979999999998</c:v>
                      </c:pt>
                      <c:pt idx="4">
                        <c:v>6.081099</c:v>
                      </c:pt>
                      <c:pt idx="5">
                        <c:v>7.0270820000000001</c:v>
                      </c:pt>
                      <c:pt idx="6">
                        <c:v>8.4299409999999995</c:v>
                      </c:pt>
                      <c:pt idx="7">
                        <c:v>9.4200859999999995</c:v>
                      </c:pt>
                      <c:pt idx="8">
                        <c:v>9.3104250000000004</c:v>
                      </c:pt>
                      <c:pt idx="9">
                        <c:v>8.7719170000000002</c:v>
                      </c:pt>
                      <c:pt idx="10">
                        <c:v>8.3237740000000002</c:v>
                      </c:pt>
                      <c:pt idx="11">
                        <c:v>8.2573410000000003</c:v>
                      </c:pt>
                      <c:pt idx="12">
                        <c:v>8.1592649999999995</c:v>
                      </c:pt>
                      <c:pt idx="13">
                        <c:v>8.7752350000000003</c:v>
                      </c:pt>
                      <c:pt idx="14">
                        <c:v>9.23752</c:v>
                      </c:pt>
                      <c:pt idx="15">
                        <c:v>9.7870399999999993</c:v>
                      </c:pt>
                      <c:pt idx="16">
                        <c:v>9.7156610000000008</c:v>
                      </c:pt>
                      <c:pt idx="17">
                        <c:v>8.7286769999999994</c:v>
                      </c:pt>
                      <c:pt idx="18">
                        <c:v>8.2262789999999999</c:v>
                      </c:pt>
                      <c:pt idx="19">
                        <c:v>7.61991</c:v>
                      </c:pt>
                      <c:pt idx="20">
                        <c:v>7.8695449999999996</c:v>
                      </c:pt>
                      <c:pt idx="21">
                        <c:v>7.7163009999999996</c:v>
                      </c:pt>
                      <c:pt idx="22">
                        <c:v>8.6162159999999997</c:v>
                      </c:pt>
                      <c:pt idx="23">
                        <c:v>9.6135330000000003</c:v>
                      </c:pt>
                      <c:pt idx="24">
                        <c:v>10.650397999999999</c:v>
                      </c:pt>
                      <c:pt idx="25">
                        <c:v>10.542828</c:v>
                      </c:pt>
                      <c:pt idx="26">
                        <c:v>10.240448000000001</c:v>
                      </c:pt>
                      <c:pt idx="27">
                        <c:v>9.8507669999999994</c:v>
                      </c:pt>
                      <c:pt idx="28">
                        <c:v>10.045006000000001</c:v>
                      </c:pt>
                      <c:pt idx="29">
                        <c:v>10.339793999999999</c:v>
                      </c:pt>
                      <c:pt idx="30">
                        <c:v>9.8716760000000008</c:v>
                      </c:pt>
                      <c:pt idx="31">
                        <c:v>9.7231349999999992</c:v>
                      </c:pt>
                      <c:pt idx="32">
                        <c:v>9.6095349999999993</c:v>
                      </c:pt>
                      <c:pt idx="33">
                        <c:v>10.254187999999999</c:v>
                      </c:pt>
                      <c:pt idx="34">
                        <c:v>9.7530999999999999</c:v>
                      </c:pt>
                      <c:pt idx="35">
                        <c:v>9.0783319999999996</c:v>
                      </c:pt>
                      <c:pt idx="36">
                        <c:v>7.8185589999999996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2957-4E29-8472-37C5FAEB4880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change'!$X$7</c15:sqref>
                        </c15:formulaRef>
                      </c:ext>
                    </c:extLst>
                    <c:strCache>
                      <c:ptCount val="1"/>
                      <c:pt idx="0">
                        <c:v>Lewisham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change'!$X$8:$X$44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2.9422929999999998</c:v>
                      </c:pt>
                      <c:pt idx="1">
                        <c:v>3.4219110000000001</c:v>
                      </c:pt>
                      <c:pt idx="2">
                        <c:v>3.6781229999999998</c:v>
                      </c:pt>
                      <c:pt idx="3">
                        <c:v>4.1126060000000004</c:v>
                      </c:pt>
                      <c:pt idx="4">
                        <c:v>4.6540629999999998</c:v>
                      </c:pt>
                      <c:pt idx="5">
                        <c:v>5.2615999999999996</c:v>
                      </c:pt>
                      <c:pt idx="6">
                        <c:v>5.7636810000000001</c:v>
                      </c:pt>
                      <c:pt idx="7">
                        <c:v>6.6059890000000001</c:v>
                      </c:pt>
                      <c:pt idx="8">
                        <c:v>7.5325499999999996</c:v>
                      </c:pt>
                      <c:pt idx="9">
                        <c:v>8.4322529999999993</c:v>
                      </c:pt>
                      <c:pt idx="10">
                        <c:v>8.9483049999999995</c:v>
                      </c:pt>
                      <c:pt idx="11">
                        <c:v>8.9807570000000005</c:v>
                      </c:pt>
                      <c:pt idx="12">
                        <c:v>8.9699840000000002</c:v>
                      </c:pt>
                      <c:pt idx="13">
                        <c:v>8.9026610000000002</c:v>
                      </c:pt>
                      <c:pt idx="14">
                        <c:v>9.1080579999999998</c:v>
                      </c:pt>
                      <c:pt idx="15">
                        <c:v>9.4478629999999999</c:v>
                      </c:pt>
                      <c:pt idx="16">
                        <c:v>9.5176750000000006</c:v>
                      </c:pt>
                      <c:pt idx="17">
                        <c:v>9.6932270000000003</c:v>
                      </c:pt>
                      <c:pt idx="18">
                        <c:v>9.6161279999999998</c:v>
                      </c:pt>
                      <c:pt idx="19">
                        <c:v>9.4198799999999991</c:v>
                      </c:pt>
                      <c:pt idx="20">
                        <c:v>9.1105680000000007</c:v>
                      </c:pt>
                      <c:pt idx="21">
                        <c:v>8.9377960000000005</c:v>
                      </c:pt>
                      <c:pt idx="22">
                        <c:v>8.9197299999999995</c:v>
                      </c:pt>
                      <c:pt idx="23">
                        <c:v>8.830959</c:v>
                      </c:pt>
                      <c:pt idx="24">
                        <c:v>8.8138799999999993</c:v>
                      </c:pt>
                      <c:pt idx="25">
                        <c:v>8.7090829999999997</c:v>
                      </c:pt>
                      <c:pt idx="26">
                        <c:v>8.5446500000000007</c:v>
                      </c:pt>
                      <c:pt idx="27">
                        <c:v>7.8246029999999998</c:v>
                      </c:pt>
                      <c:pt idx="28">
                        <c:v>7.2989360000000003</c:v>
                      </c:pt>
                      <c:pt idx="29">
                        <c:v>6.8418369999999999</c:v>
                      </c:pt>
                      <c:pt idx="30">
                        <c:v>6.5788440000000001</c:v>
                      </c:pt>
                      <c:pt idx="31">
                        <c:v>6.3516349999999999</c:v>
                      </c:pt>
                      <c:pt idx="32">
                        <c:v>5.8377309999999998</c:v>
                      </c:pt>
                      <c:pt idx="33">
                        <c:v>5.3566710000000004</c:v>
                      </c:pt>
                      <c:pt idx="34">
                        <c:v>4.5009620000000004</c:v>
                      </c:pt>
                      <c:pt idx="35">
                        <c:v>3.9256169999999999</c:v>
                      </c:pt>
                      <c:pt idx="36">
                        <c:v>3.1965159999999999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2957-4E29-8472-37C5FAEB4880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change'!$Z$7</c15:sqref>
                        </c15:formulaRef>
                      </c:ext>
                    </c:extLst>
                    <c:strCache>
                      <c:ptCount val="1"/>
                      <c:pt idx="0">
                        <c:v>Merton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change'!$Z$8:$Z$44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7.5947459999999998</c:v>
                      </c:pt>
                      <c:pt idx="1">
                        <c:v>7.4702529999999996</c:v>
                      </c:pt>
                      <c:pt idx="2">
                        <c:v>7.2376849999999999</c:v>
                      </c:pt>
                      <c:pt idx="3">
                        <c:v>7.4120100000000004</c:v>
                      </c:pt>
                      <c:pt idx="4">
                        <c:v>7.6737200000000003</c:v>
                      </c:pt>
                      <c:pt idx="5">
                        <c:v>7.6333989999999998</c:v>
                      </c:pt>
                      <c:pt idx="6">
                        <c:v>7.0324809999999998</c:v>
                      </c:pt>
                      <c:pt idx="7">
                        <c:v>6.0107689999999998</c:v>
                      </c:pt>
                      <c:pt idx="8">
                        <c:v>5.1880129999999998</c:v>
                      </c:pt>
                      <c:pt idx="9">
                        <c:v>4.5881429999999996</c:v>
                      </c:pt>
                      <c:pt idx="10">
                        <c:v>3.8798010000000001</c:v>
                      </c:pt>
                      <c:pt idx="11">
                        <c:v>3.4811420000000002</c:v>
                      </c:pt>
                      <c:pt idx="12">
                        <c:v>3.200434</c:v>
                      </c:pt>
                      <c:pt idx="13">
                        <c:v>4.8042189999999998</c:v>
                      </c:pt>
                      <c:pt idx="14">
                        <c:v>6.7092140000000002</c:v>
                      </c:pt>
                      <c:pt idx="15">
                        <c:v>8.3077649999999998</c:v>
                      </c:pt>
                      <c:pt idx="16">
                        <c:v>7.574846</c:v>
                      </c:pt>
                      <c:pt idx="17">
                        <c:v>6.4864090000000001</c:v>
                      </c:pt>
                      <c:pt idx="18">
                        <c:v>6.1856809999999998</c:v>
                      </c:pt>
                      <c:pt idx="19">
                        <c:v>6.9469029999999998</c:v>
                      </c:pt>
                      <c:pt idx="20">
                        <c:v>7.9450760000000002</c:v>
                      </c:pt>
                      <c:pt idx="21">
                        <c:v>8.7108260000000008</c:v>
                      </c:pt>
                      <c:pt idx="22">
                        <c:v>10.052149</c:v>
                      </c:pt>
                      <c:pt idx="23">
                        <c:v>10.986238</c:v>
                      </c:pt>
                      <c:pt idx="24">
                        <c:v>11.981892</c:v>
                      </c:pt>
                      <c:pt idx="25">
                        <c:v>10.610543</c:v>
                      </c:pt>
                      <c:pt idx="26">
                        <c:v>9.0478839999999998</c:v>
                      </c:pt>
                      <c:pt idx="27">
                        <c:v>7.1007579999999999</c:v>
                      </c:pt>
                      <c:pt idx="28">
                        <c:v>7.0312429999999999</c:v>
                      </c:pt>
                      <c:pt idx="29">
                        <c:v>7.2302400000000002</c:v>
                      </c:pt>
                      <c:pt idx="30">
                        <c:v>6.9180390000000003</c:v>
                      </c:pt>
                      <c:pt idx="31">
                        <c:v>6.2360309999999997</c:v>
                      </c:pt>
                      <c:pt idx="32">
                        <c:v>5.6493130000000003</c:v>
                      </c:pt>
                      <c:pt idx="33">
                        <c:v>5.4573070000000001</c:v>
                      </c:pt>
                      <c:pt idx="34">
                        <c:v>4.5595809999999997</c:v>
                      </c:pt>
                      <c:pt idx="35">
                        <c:v>3.6071979999999999</c:v>
                      </c:pt>
                      <c:pt idx="36">
                        <c:v>2.4381919999999999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2957-4E29-8472-37C5FAEB4880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change'!$AA$7</c15:sqref>
                        </c15:formulaRef>
                      </c:ext>
                    </c:extLst>
                    <c:strCache>
                      <c:ptCount val="1"/>
                      <c:pt idx="0">
                        <c:v>Newham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change'!$AA$8:$AA$44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1.0379510000000001</c:v>
                      </c:pt>
                      <c:pt idx="1">
                        <c:v>1.271712</c:v>
                      </c:pt>
                      <c:pt idx="2">
                        <c:v>1.520165</c:v>
                      </c:pt>
                      <c:pt idx="3">
                        <c:v>2.1414209999999998</c:v>
                      </c:pt>
                      <c:pt idx="4">
                        <c:v>2.4035700000000002</c:v>
                      </c:pt>
                      <c:pt idx="5">
                        <c:v>3.6486679999999998</c:v>
                      </c:pt>
                      <c:pt idx="6">
                        <c:v>4.7845849999999999</c:v>
                      </c:pt>
                      <c:pt idx="7">
                        <c:v>6.3196940000000001</c:v>
                      </c:pt>
                      <c:pt idx="8">
                        <c:v>7.0670039999999998</c:v>
                      </c:pt>
                      <c:pt idx="9">
                        <c:v>7.6810679999999998</c:v>
                      </c:pt>
                      <c:pt idx="10">
                        <c:v>8.216723</c:v>
                      </c:pt>
                      <c:pt idx="11">
                        <c:v>8.6072100000000002</c:v>
                      </c:pt>
                      <c:pt idx="12">
                        <c:v>8.7062200000000001</c:v>
                      </c:pt>
                      <c:pt idx="13">
                        <c:v>8.6216480000000004</c:v>
                      </c:pt>
                      <c:pt idx="14">
                        <c:v>8.8207509999999996</c:v>
                      </c:pt>
                      <c:pt idx="15">
                        <c:v>8.9404140000000005</c:v>
                      </c:pt>
                      <c:pt idx="16">
                        <c:v>9.1876250000000006</c:v>
                      </c:pt>
                      <c:pt idx="17">
                        <c:v>8.1764690000000009</c:v>
                      </c:pt>
                      <c:pt idx="18">
                        <c:v>7.2485679999999997</c:v>
                      </c:pt>
                      <c:pt idx="19">
                        <c:v>5.9449009999999998</c:v>
                      </c:pt>
                      <c:pt idx="20">
                        <c:v>5.5250760000000003</c:v>
                      </c:pt>
                      <c:pt idx="21">
                        <c:v>5.1446930000000002</c:v>
                      </c:pt>
                      <c:pt idx="22">
                        <c:v>4.932207</c:v>
                      </c:pt>
                      <c:pt idx="23">
                        <c:v>4.7582959999999996</c:v>
                      </c:pt>
                      <c:pt idx="24">
                        <c:v>4.8010820000000001</c:v>
                      </c:pt>
                      <c:pt idx="25">
                        <c:v>4.9861779999999998</c:v>
                      </c:pt>
                      <c:pt idx="26">
                        <c:v>5.6375029999999997</c:v>
                      </c:pt>
                      <c:pt idx="27">
                        <c:v>5.9316610000000001</c:v>
                      </c:pt>
                      <c:pt idx="28">
                        <c:v>7.4265530000000002</c:v>
                      </c:pt>
                      <c:pt idx="29">
                        <c:v>8.3386139999999997</c:v>
                      </c:pt>
                      <c:pt idx="30">
                        <c:v>9.2777170000000009</c:v>
                      </c:pt>
                      <c:pt idx="31">
                        <c:v>8.9999369999999992</c:v>
                      </c:pt>
                      <c:pt idx="32">
                        <c:v>8.8831120000000006</c:v>
                      </c:pt>
                      <c:pt idx="33">
                        <c:v>8.9496669999999998</c:v>
                      </c:pt>
                      <c:pt idx="34">
                        <c:v>8.8683910000000008</c:v>
                      </c:pt>
                      <c:pt idx="35">
                        <c:v>8.6797699999999995</c:v>
                      </c:pt>
                      <c:pt idx="36">
                        <c:v>8.5875869999999992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2957-4E29-8472-37C5FAEB4880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change'!$AB$7</c15:sqref>
                        </c15:formulaRef>
                      </c:ext>
                    </c:extLst>
                    <c:strCache>
                      <c:ptCount val="1"/>
                      <c:pt idx="0">
                        <c:v>Redbridge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change'!$AB$8:$AB$44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2.6447639999999999</c:v>
                      </c:pt>
                      <c:pt idx="1">
                        <c:v>2.8706640000000001</c:v>
                      </c:pt>
                      <c:pt idx="2">
                        <c:v>3.2504780000000002</c:v>
                      </c:pt>
                      <c:pt idx="3">
                        <c:v>3.7902870000000002</c:v>
                      </c:pt>
                      <c:pt idx="4">
                        <c:v>4.3896499999999996</c:v>
                      </c:pt>
                      <c:pt idx="5">
                        <c:v>4.8950519999999997</c:v>
                      </c:pt>
                      <c:pt idx="6">
                        <c:v>5.1711270000000003</c:v>
                      </c:pt>
                      <c:pt idx="7">
                        <c:v>5.6309639999999996</c:v>
                      </c:pt>
                      <c:pt idx="8">
                        <c:v>5.9610149999999997</c:v>
                      </c:pt>
                      <c:pt idx="9">
                        <c:v>6.585782</c:v>
                      </c:pt>
                      <c:pt idx="10">
                        <c:v>7.1531279999999997</c:v>
                      </c:pt>
                      <c:pt idx="11">
                        <c:v>7.6212679999999997</c:v>
                      </c:pt>
                      <c:pt idx="12">
                        <c:v>7.8406469999999997</c:v>
                      </c:pt>
                      <c:pt idx="13">
                        <c:v>7.9616680000000004</c:v>
                      </c:pt>
                      <c:pt idx="14">
                        <c:v>7.8833260000000003</c:v>
                      </c:pt>
                      <c:pt idx="15">
                        <c:v>7.9283580000000002</c:v>
                      </c:pt>
                      <c:pt idx="16">
                        <c:v>8.1335320000000007</c:v>
                      </c:pt>
                      <c:pt idx="17">
                        <c:v>8.5071560000000002</c:v>
                      </c:pt>
                      <c:pt idx="18">
                        <c:v>9.1170770000000001</c:v>
                      </c:pt>
                      <c:pt idx="19">
                        <c:v>9.5042430000000007</c:v>
                      </c:pt>
                      <c:pt idx="20">
                        <c:v>10.114945000000001</c:v>
                      </c:pt>
                      <c:pt idx="21">
                        <c:v>10.714079</c:v>
                      </c:pt>
                      <c:pt idx="22">
                        <c:v>11.369762</c:v>
                      </c:pt>
                      <c:pt idx="23">
                        <c:v>11.731731</c:v>
                      </c:pt>
                      <c:pt idx="24">
                        <c:v>11.689875000000001</c:v>
                      </c:pt>
                      <c:pt idx="25">
                        <c:v>11.708918000000001</c:v>
                      </c:pt>
                      <c:pt idx="26">
                        <c:v>11.791472000000001</c:v>
                      </c:pt>
                      <c:pt idx="27">
                        <c:v>11.608530999999999</c:v>
                      </c:pt>
                      <c:pt idx="28">
                        <c:v>11.028893999999999</c:v>
                      </c:pt>
                      <c:pt idx="29">
                        <c:v>10.341748000000001</c:v>
                      </c:pt>
                      <c:pt idx="30">
                        <c:v>9.5366940000000007</c:v>
                      </c:pt>
                      <c:pt idx="31">
                        <c:v>8.938504</c:v>
                      </c:pt>
                      <c:pt idx="32">
                        <c:v>8.1073120000000003</c:v>
                      </c:pt>
                      <c:pt idx="33">
                        <c:v>7.0805999999999996</c:v>
                      </c:pt>
                      <c:pt idx="34">
                        <c:v>5.947997</c:v>
                      </c:pt>
                      <c:pt idx="35">
                        <c:v>4.9663409999999999</c:v>
                      </c:pt>
                      <c:pt idx="36">
                        <c:v>4.5098719999999997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2957-4E29-8472-37C5FAEB4880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change'!$AC$7</c15:sqref>
                        </c15:formulaRef>
                      </c:ext>
                    </c:extLst>
                    <c:strCache>
                      <c:ptCount val="1"/>
                      <c:pt idx="0">
                        <c:v>Richmond upon Thames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change'!$AC$8:$AC$44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3.6219350000000001</c:v>
                      </c:pt>
                      <c:pt idx="1">
                        <c:v>3.586821</c:v>
                      </c:pt>
                      <c:pt idx="2">
                        <c:v>3.435505</c:v>
                      </c:pt>
                      <c:pt idx="3">
                        <c:v>3.3229410000000001</c:v>
                      </c:pt>
                      <c:pt idx="4">
                        <c:v>3.1592150000000001</c:v>
                      </c:pt>
                      <c:pt idx="5">
                        <c:v>3.5601940000000001</c:v>
                      </c:pt>
                      <c:pt idx="6">
                        <c:v>4.1140090000000002</c:v>
                      </c:pt>
                      <c:pt idx="7">
                        <c:v>4.7113719999999999</c:v>
                      </c:pt>
                      <c:pt idx="8">
                        <c:v>4.7041000000000004</c:v>
                      </c:pt>
                      <c:pt idx="9">
                        <c:v>4.112692</c:v>
                      </c:pt>
                      <c:pt idx="10">
                        <c:v>3.3507180000000001</c:v>
                      </c:pt>
                      <c:pt idx="11">
                        <c:v>2.7232050000000001</c:v>
                      </c:pt>
                      <c:pt idx="12">
                        <c:v>2.4424730000000001</c:v>
                      </c:pt>
                      <c:pt idx="13">
                        <c:v>3.8167789999999999</c:v>
                      </c:pt>
                      <c:pt idx="14">
                        <c:v>5.4694880000000001</c:v>
                      </c:pt>
                      <c:pt idx="15">
                        <c:v>6.9922880000000003</c:v>
                      </c:pt>
                      <c:pt idx="16">
                        <c:v>7.3787510000000003</c:v>
                      </c:pt>
                      <c:pt idx="17">
                        <c:v>6.9927530000000004</c:v>
                      </c:pt>
                      <c:pt idx="18">
                        <c:v>7.6005580000000004</c:v>
                      </c:pt>
                      <c:pt idx="19">
                        <c:v>7.9898119999999997</c:v>
                      </c:pt>
                      <c:pt idx="20">
                        <c:v>9.377027</c:v>
                      </c:pt>
                      <c:pt idx="21">
                        <c:v>10.855649</c:v>
                      </c:pt>
                      <c:pt idx="22">
                        <c:v>13.069378</c:v>
                      </c:pt>
                      <c:pt idx="23">
                        <c:v>14.671262</c:v>
                      </c:pt>
                      <c:pt idx="24">
                        <c:v>15.466367999999999</c:v>
                      </c:pt>
                      <c:pt idx="25">
                        <c:v>14.086556</c:v>
                      </c:pt>
                      <c:pt idx="26">
                        <c:v>12.679252</c:v>
                      </c:pt>
                      <c:pt idx="27">
                        <c:v>11.931841</c:v>
                      </c:pt>
                      <c:pt idx="28">
                        <c:v>12.226856</c:v>
                      </c:pt>
                      <c:pt idx="29">
                        <c:v>12.804551999999999</c:v>
                      </c:pt>
                      <c:pt idx="30">
                        <c:v>11.789643</c:v>
                      </c:pt>
                      <c:pt idx="31">
                        <c:v>10.671436999999999</c:v>
                      </c:pt>
                      <c:pt idx="32">
                        <c:v>8.700628</c:v>
                      </c:pt>
                      <c:pt idx="33">
                        <c:v>7.3550779999999998</c:v>
                      </c:pt>
                      <c:pt idx="34">
                        <c:v>6.0786559999999996</c:v>
                      </c:pt>
                      <c:pt idx="35">
                        <c:v>5.044581</c:v>
                      </c:pt>
                      <c:pt idx="36">
                        <c:v>5.1749299999999998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2957-4E29-8472-37C5FAEB4880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change'!$AD$7</c15:sqref>
                        </c15:formulaRef>
                      </c:ext>
                    </c:extLst>
                    <c:strCache>
                      <c:ptCount val="1"/>
                      <c:pt idx="0">
                        <c:v>Southwark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change'!$AD$8:$AD$44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8.0098059999999993</c:v>
                      </c:pt>
                      <c:pt idx="1">
                        <c:v>8.6249819999999993</c:v>
                      </c:pt>
                      <c:pt idx="2">
                        <c:v>9.2001469999999994</c:v>
                      </c:pt>
                      <c:pt idx="3">
                        <c:v>10.005255</c:v>
                      </c:pt>
                      <c:pt idx="4">
                        <c:v>10.549177999999999</c:v>
                      </c:pt>
                      <c:pt idx="5">
                        <c:v>10.861787</c:v>
                      </c:pt>
                      <c:pt idx="6">
                        <c:v>10.264277999999999</c:v>
                      </c:pt>
                      <c:pt idx="7">
                        <c:v>9.9620060000000006</c:v>
                      </c:pt>
                      <c:pt idx="8">
                        <c:v>9.5551960000000005</c:v>
                      </c:pt>
                      <c:pt idx="9">
                        <c:v>9.4760570000000008</c:v>
                      </c:pt>
                      <c:pt idx="10">
                        <c:v>9.1140109999999996</c:v>
                      </c:pt>
                      <c:pt idx="11">
                        <c:v>9.2042009999999994</c:v>
                      </c:pt>
                      <c:pt idx="12">
                        <c:v>9.1052900000000001</c:v>
                      </c:pt>
                      <c:pt idx="13">
                        <c:v>9.3432890000000004</c:v>
                      </c:pt>
                      <c:pt idx="14">
                        <c:v>9.2686189999999993</c:v>
                      </c:pt>
                      <c:pt idx="15">
                        <c:v>8.3853869999999997</c:v>
                      </c:pt>
                      <c:pt idx="16">
                        <c:v>7.4691450000000001</c:v>
                      </c:pt>
                      <c:pt idx="17">
                        <c:v>6.8000350000000003</c:v>
                      </c:pt>
                      <c:pt idx="18">
                        <c:v>7.0482490000000002</c:v>
                      </c:pt>
                      <c:pt idx="19">
                        <c:v>7.7019820000000001</c:v>
                      </c:pt>
                      <c:pt idx="20">
                        <c:v>8.3102800000000006</c:v>
                      </c:pt>
                      <c:pt idx="21">
                        <c:v>8.7617820000000002</c:v>
                      </c:pt>
                      <c:pt idx="22">
                        <c:v>8.8796689999999998</c:v>
                      </c:pt>
                      <c:pt idx="23">
                        <c:v>8.6995459999999998</c:v>
                      </c:pt>
                      <c:pt idx="24">
                        <c:v>8.3600530000000006</c:v>
                      </c:pt>
                      <c:pt idx="25">
                        <c:v>7.6576389999999996</c:v>
                      </c:pt>
                      <c:pt idx="26">
                        <c:v>7.2205599999999999</c:v>
                      </c:pt>
                      <c:pt idx="27">
                        <c:v>7.0765339999999997</c:v>
                      </c:pt>
                      <c:pt idx="28">
                        <c:v>6.3333240000000002</c:v>
                      </c:pt>
                      <c:pt idx="29">
                        <c:v>5.8182169999999998</c:v>
                      </c:pt>
                      <c:pt idx="30">
                        <c:v>4.8597200000000003</c:v>
                      </c:pt>
                      <c:pt idx="31">
                        <c:v>4.0563700000000003</c:v>
                      </c:pt>
                      <c:pt idx="32">
                        <c:v>2.8964530000000002</c:v>
                      </c:pt>
                      <c:pt idx="33">
                        <c:v>1.8087009999999999</c:v>
                      </c:pt>
                      <c:pt idx="34">
                        <c:v>1.8247850000000001</c:v>
                      </c:pt>
                      <c:pt idx="35">
                        <c:v>1.86632</c:v>
                      </c:pt>
                      <c:pt idx="36">
                        <c:v>1.9189229999999999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2957-4E29-8472-37C5FAEB4880}"/>
                  </c:ext>
                </c:extLst>
              </c15:ser>
            </c15:filteredLineSeries>
            <c15:filteredLine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change'!$AE$7</c15:sqref>
                        </c15:formulaRef>
                      </c:ext>
                    </c:extLst>
                    <c:strCache>
                      <c:ptCount val="1"/>
                      <c:pt idx="0">
                        <c:v>Sutton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change'!$AE$8:$AE$44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4.1452220000000004</c:v>
                      </c:pt>
                      <c:pt idx="1">
                        <c:v>4.511857</c:v>
                      </c:pt>
                      <c:pt idx="2">
                        <c:v>5.0562959999999997</c:v>
                      </c:pt>
                      <c:pt idx="3">
                        <c:v>5.6676190000000002</c:v>
                      </c:pt>
                      <c:pt idx="4">
                        <c:v>6.1486299999999998</c:v>
                      </c:pt>
                      <c:pt idx="5">
                        <c:v>5.6455890000000002</c:v>
                      </c:pt>
                      <c:pt idx="6">
                        <c:v>5.1351279999999999</c:v>
                      </c:pt>
                      <c:pt idx="7">
                        <c:v>4.5146139999999999</c:v>
                      </c:pt>
                      <c:pt idx="8">
                        <c:v>4.4278310000000003</c:v>
                      </c:pt>
                      <c:pt idx="9">
                        <c:v>4.9941740000000001</c:v>
                      </c:pt>
                      <c:pt idx="10">
                        <c:v>5.6620790000000003</c:v>
                      </c:pt>
                      <c:pt idx="11">
                        <c:v>7.8647970000000003</c:v>
                      </c:pt>
                      <c:pt idx="12">
                        <c:v>9.2165289999999995</c:v>
                      </c:pt>
                      <c:pt idx="13">
                        <c:v>10.568531</c:v>
                      </c:pt>
                      <c:pt idx="14">
                        <c:v>10.240527999999999</c:v>
                      </c:pt>
                      <c:pt idx="15">
                        <c:v>11.017211</c:v>
                      </c:pt>
                      <c:pt idx="16">
                        <c:v>11.687099999999999</c:v>
                      </c:pt>
                      <c:pt idx="17">
                        <c:v>12.823079</c:v>
                      </c:pt>
                      <c:pt idx="18">
                        <c:v>13.343114</c:v>
                      </c:pt>
                      <c:pt idx="19">
                        <c:v>13.7102</c:v>
                      </c:pt>
                      <c:pt idx="20">
                        <c:v>14.091396</c:v>
                      </c:pt>
                      <c:pt idx="21">
                        <c:v>14.161068</c:v>
                      </c:pt>
                      <c:pt idx="22">
                        <c:v>14.364947000000001</c:v>
                      </c:pt>
                      <c:pt idx="23">
                        <c:v>12.953264000000001</c:v>
                      </c:pt>
                      <c:pt idx="24">
                        <c:v>11.560172</c:v>
                      </c:pt>
                      <c:pt idx="25">
                        <c:v>9.8846159999999994</c:v>
                      </c:pt>
                      <c:pt idx="26">
                        <c:v>9.5214879999999997</c:v>
                      </c:pt>
                      <c:pt idx="27">
                        <c:v>8.0617160000000005</c:v>
                      </c:pt>
                      <c:pt idx="28">
                        <c:v>6.9711420000000004</c:v>
                      </c:pt>
                      <c:pt idx="29">
                        <c:v>5.9490879999999997</c:v>
                      </c:pt>
                      <c:pt idx="30">
                        <c:v>5.1623849999999996</c:v>
                      </c:pt>
                      <c:pt idx="31">
                        <c:v>4.4670129999999997</c:v>
                      </c:pt>
                      <c:pt idx="32">
                        <c:v>3.616762</c:v>
                      </c:pt>
                      <c:pt idx="33">
                        <c:v>3.3745750000000001</c:v>
                      </c:pt>
                      <c:pt idx="34">
                        <c:v>3.0689090000000001</c:v>
                      </c:pt>
                      <c:pt idx="35">
                        <c:v>2.9839229999999999</c:v>
                      </c:pt>
                      <c:pt idx="36">
                        <c:v>2.9030930000000001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2957-4E29-8472-37C5FAEB4880}"/>
                  </c:ext>
                </c:extLst>
              </c15:ser>
            </c15:filteredLineSeries>
            <c15:filteredLine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change'!$AF$7</c15:sqref>
                        </c15:formulaRef>
                      </c:ext>
                    </c:extLst>
                    <c:strCache>
                      <c:ptCount val="1"/>
                      <c:pt idx="0">
                        <c:v>Tower Hamlets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change'!$AF$8:$AF$44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8.425694</c:v>
                      </c:pt>
                      <c:pt idx="1">
                        <c:v>9.4329870000000007</c:v>
                      </c:pt>
                      <c:pt idx="2">
                        <c:v>10.630841999999999</c:v>
                      </c:pt>
                      <c:pt idx="3">
                        <c:v>12.342147000000001</c:v>
                      </c:pt>
                      <c:pt idx="4">
                        <c:v>14.259133</c:v>
                      </c:pt>
                      <c:pt idx="5">
                        <c:v>15.275898</c:v>
                      </c:pt>
                      <c:pt idx="6">
                        <c:v>14.997045</c:v>
                      </c:pt>
                      <c:pt idx="7">
                        <c:v>14.460019000000001</c:v>
                      </c:pt>
                      <c:pt idx="8">
                        <c:v>14.229754</c:v>
                      </c:pt>
                      <c:pt idx="9">
                        <c:v>14.207565000000001</c:v>
                      </c:pt>
                      <c:pt idx="10">
                        <c:v>13.795718000000001</c:v>
                      </c:pt>
                      <c:pt idx="11">
                        <c:v>13.901249</c:v>
                      </c:pt>
                      <c:pt idx="12">
                        <c:v>13.172326999999999</c:v>
                      </c:pt>
                      <c:pt idx="13">
                        <c:v>13.023344</c:v>
                      </c:pt>
                      <c:pt idx="14">
                        <c:v>13.032476000000001</c:v>
                      </c:pt>
                      <c:pt idx="15">
                        <c:v>12.60299</c:v>
                      </c:pt>
                      <c:pt idx="16">
                        <c:v>11.558343000000001</c:v>
                      </c:pt>
                      <c:pt idx="17">
                        <c:v>10.748119000000001</c:v>
                      </c:pt>
                      <c:pt idx="18">
                        <c:v>10.227929</c:v>
                      </c:pt>
                      <c:pt idx="19">
                        <c:v>10.071960000000001</c:v>
                      </c:pt>
                      <c:pt idx="20">
                        <c:v>9.5614340000000002</c:v>
                      </c:pt>
                      <c:pt idx="21">
                        <c:v>9.3332580000000007</c:v>
                      </c:pt>
                      <c:pt idx="22">
                        <c:v>9.3090989999999998</c:v>
                      </c:pt>
                      <c:pt idx="23">
                        <c:v>9.1063949999999991</c:v>
                      </c:pt>
                      <c:pt idx="24">
                        <c:v>9.0579169999999998</c:v>
                      </c:pt>
                      <c:pt idx="25">
                        <c:v>8.4835469999999997</c:v>
                      </c:pt>
                      <c:pt idx="26">
                        <c:v>7.7320869999999999</c:v>
                      </c:pt>
                      <c:pt idx="27">
                        <c:v>6.7727110000000001</c:v>
                      </c:pt>
                      <c:pt idx="28">
                        <c:v>5.9534019999999996</c:v>
                      </c:pt>
                      <c:pt idx="29">
                        <c:v>5.3717779999999999</c:v>
                      </c:pt>
                      <c:pt idx="30">
                        <c:v>5.4804729999999999</c:v>
                      </c:pt>
                      <c:pt idx="31">
                        <c:v>5.0161910000000001</c:v>
                      </c:pt>
                      <c:pt idx="32">
                        <c:v>4.4617019999999998</c:v>
                      </c:pt>
                      <c:pt idx="33">
                        <c:v>3.4795419999999999</c:v>
                      </c:pt>
                      <c:pt idx="34">
                        <c:v>3.1269840000000002</c:v>
                      </c:pt>
                      <c:pt idx="35">
                        <c:v>2.5962879999999999</c:v>
                      </c:pt>
                      <c:pt idx="36">
                        <c:v>2.085966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2957-4E29-8472-37C5FAEB4880}"/>
                  </c:ext>
                </c:extLst>
              </c15:ser>
            </c15:filteredLineSeries>
            <c15:filteredLineSeries>
              <c15:ser>
                <c:idx val="30"/>
                <c:order val="3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change'!$AG$7</c15:sqref>
                        </c15:formulaRef>
                      </c:ext>
                    </c:extLst>
                    <c:strCache>
                      <c:ptCount val="1"/>
                      <c:pt idx="0">
                        <c:v>Waltham Forest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change'!$AG$8:$AG$44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2.3062589999999998</c:v>
                      </c:pt>
                      <c:pt idx="1">
                        <c:v>2.7892260000000002</c:v>
                      </c:pt>
                      <c:pt idx="2">
                        <c:v>3.5416629999999998</c:v>
                      </c:pt>
                      <c:pt idx="3">
                        <c:v>4.2915599999999996</c:v>
                      </c:pt>
                      <c:pt idx="4">
                        <c:v>4.6105590000000003</c:v>
                      </c:pt>
                      <c:pt idx="5">
                        <c:v>4.8425019999999996</c:v>
                      </c:pt>
                      <c:pt idx="6">
                        <c:v>4.8817700000000004</c:v>
                      </c:pt>
                      <c:pt idx="7">
                        <c:v>5.6688850000000004</c:v>
                      </c:pt>
                      <c:pt idx="8">
                        <c:v>6.281803</c:v>
                      </c:pt>
                      <c:pt idx="9">
                        <c:v>7.0537570000000001</c:v>
                      </c:pt>
                      <c:pt idx="10">
                        <c:v>7.1976829999999996</c:v>
                      </c:pt>
                      <c:pt idx="11">
                        <c:v>7.5113190000000003</c:v>
                      </c:pt>
                      <c:pt idx="12">
                        <c:v>7.5810149999999998</c:v>
                      </c:pt>
                      <c:pt idx="13">
                        <c:v>7.5079529999999997</c:v>
                      </c:pt>
                      <c:pt idx="14">
                        <c:v>7.3328810000000004</c:v>
                      </c:pt>
                      <c:pt idx="15">
                        <c:v>7.5556340000000004</c:v>
                      </c:pt>
                      <c:pt idx="16">
                        <c:v>8.0495769999999993</c:v>
                      </c:pt>
                      <c:pt idx="17">
                        <c:v>8.6139229999999998</c:v>
                      </c:pt>
                      <c:pt idx="18">
                        <c:v>8.9153129999999994</c:v>
                      </c:pt>
                      <c:pt idx="19">
                        <c:v>9.0691640000000007</c:v>
                      </c:pt>
                      <c:pt idx="20">
                        <c:v>9.1555730000000004</c:v>
                      </c:pt>
                      <c:pt idx="21">
                        <c:v>9.4542350000000006</c:v>
                      </c:pt>
                      <c:pt idx="22">
                        <c:v>9.805002</c:v>
                      </c:pt>
                      <c:pt idx="23">
                        <c:v>9.9634199999999993</c:v>
                      </c:pt>
                      <c:pt idx="24">
                        <c:v>10.025954</c:v>
                      </c:pt>
                      <c:pt idx="25">
                        <c:v>10.128079</c:v>
                      </c:pt>
                      <c:pt idx="26">
                        <c:v>10.179957999999999</c:v>
                      </c:pt>
                      <c:pt idx="27">
                        <c:v>10.02421</c:v>
                      </c:pt>
                      <c:pt idx="28">
                        <c:v>9.6485280000000007</c:v>
                      </c:pt>
                      <c:pt idx="29">
                        <c:v>9.1389410000000009</c:v>
                      </c:pt>
                      <c:pt idx="30">
                        <c:v>8.0625970000000002</c:v>
                      </c:pt>
                      <c:pt idx="31">
                        <c:v>6.6736589999999998</c:v>
                      </c:pt>
                      <c:pt idx="32">
                        <c:v>5.4502920000000001</c:v>
                      </c:pt>
                      <c:pt idx="33">
                        <c:v>4.3616070000000002</c:v>
                      </c:pt>
                      <c:pt idx="34">
                        <c:v>3.5242170000000002</c:v>
                      </c:pt>
                      <c:pt idx="35">
                        <c:v>2.7923269999999998</c:v>
                      </c:pt>
                      <c:pt idx="36">
                        <c:v>2.3094130000000002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2957-4E29-8472-37C5FAEB4880}"/>
                  </c:ext>
                </c:extLst>
              </c15:ser>
            </c15:filteredLineSeries>
            <c15:filteredLineSeries>
              <c15:ser>
                <c:idx val="31"/>
                <c:order val="3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change'!$AH$7</c15:sqref>
                        </c15:formulaRef>
                      </c:ext>
                    </c:extLst>
                    <c:strCache>
                      <c:ptCount val="1"/>
                      <c:pt idx="0">
                        <c:v>Wandsworth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change'!$AH$8:$AH$44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6.9472569999999996</c:v>
                      </c:pt>
                      <c:pt idx="1">
                        <c:v>6.1348479999999999</c:v>
                      </c:pt>
                      <c:pt idx="2">
                        <c:v>5.3860849999999996</c:v>
                      </c:pt>
                      <c:pt idx="3">
                        <c:v>5.4419870000000001</c:v>
                      </c:pt>
                      <c:pt idx="4">
                        <c:v>6.1430559999999996</c:v>
                      </c:pt>
                      <c:pt idx="5">
                        <c:v>6.9977429999999998</c:v>
                      </c:pt>
                      <c:pt idx="6">
                        <c:v>6.9253629999999999</c:v>
                      </c:pt>
                      <c:pt idx="7">
                        <c:v>6.5524870000000002</c:v>
                      </c:pt>
                      <c:pt idx="8">
                        <c:v>6.230505</c:v>
                      </c:pt>
                      <c:pt idx="9">
                        <c:v>6.4285100000000002</c:v>
                      </c:pt>
                      <c:pt idx="10">
                        <c:v>6.7037839999999997</c:v>
                      </c:pt>
                      <c:pt idx="11">
                        <c:v>6.9274449999999996</c:v>
                      </c:pt>
                      <c:pt idx="12">
                        <c:v>7.104514</c:v>
                      </c:pt>
                      <c:pt idx="13">
                        <c:v>7.9998779999999998</c:v>
                      </c:pt>
                      <c:pt idx="14">
                        <c:v>9.2605880000000003</c:v>
                      </c:pt>
                      <c:pt idx="15">
                        <c:v>9.8128069999999994</c:v>
                      </c:pt>
                      <c:pt idx="16">
                        <c:v>9.4795400000000001</c:v>
                      </c:pt>
                      <c:pt idx="17">
                        <c:v>8.4592139999999993</c:v>
                      </c:pt>
                      <c:pt idx="18">
                        <c:v>8.2072369999999992</c:v>
                      </c:pt>
                      <c:pt idx="19">
                        <c:v>8.3054260000000006</c:v>
                      </c:pt>
                      <c:pt idx="20">
                        <c:v>8.5121699999999993</c:v>
                      </c:pt>
                      <c:pt idx="21">
                        <c:v>8.4422069999999998</c:v>
                      </c:pt>
                      <c:pt idx="22">
                        <c:v>8.8437979999999996</c:v>
                      </c:pt>
                      <c:pt idx="23">
                        <c:v>9.3084019999999992</c:v>
                      </c:pt>
                      <c:pt idx="24">
                        <c:v>9.7207889999999999</c:v>
                      </c:pt>
                      <c:pt idx="25">
                        <c:v>9.2423999999999999</c:v>
                      </c:pt>
                      <c:pt idx="26">
                        <c:v>8.5217039999999997</c:v>
                      </c:pt>
                      <c:pt idx="27">
                        <c:v>7.9257049999999998</c:v>
                      </c:pt>
                      <c:pt idx="28">
                        <c:v>7.7245780000000002</c:v>
                      </c:pt>
                      <c:pt idx="29">
                        <c:v>7.942094</c:v>
                      </c:pt>
                      <c:pt idx="30">
                        <c:v>7.5212139999999996</c:v>
                      </c:pt>
                      <c:pt idx="31">
                        <c:v>6.9369459999999998</c:v>
                      </c:pt>
                      <c:pt idx="32">
                        <c:v>6.4437530000000001</c:v>
                      </c:pt>
                      <c:pt idx="33">
                        <c:v>6.4849560000000004</c:v>
                      </c:pt>
                      <c:pt idx="34">
                        <c:v>6.523396</c:v>
                      </c:pt>
                      <c:pt idx="35">
                        <c:v>6.3165969999999998</c:v>
                      </c:pt>
                      <c:pt idx="36">
                        <c:v>5.5300880000000001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2957-4E29-8472-37C5FAEB4880}"/>
                  </c:ext>
                </c:extLst>
              </c15:ser>
            </c15:filteredLineSeries>
            <c15:filteredLineSeries>
              <c15:ser>
                <c:idx val="32"/>
                <c:order val="3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change'!$AI$7</c15:sqref>
                        </c15:formulaRef>
                      </c:ext>
                    </c:extLst>
                    <c:strCache>
                      <c:ptCount val="1"/>
                      <c:pt idx="0">
                        <c:v>Westminster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change'!$B$8:$B$44</c15:sqref>
                        </c15:formulaRef>
                      </c:ext>
                    </c:extLst>
                    <c:numCache>
                      <c:formatCode>mmm\-yyyy</c:formatCode>
                      <c:ptCount val="37"/>
                      <c:pt idx="0">
                        <c:v>44927</c:v>
                      </c:pt>
                      <c:pt idx="1">
                        <c:v>44958</c:v>
                      </c:pt>
                      <c:pt idx="2">
                        <c:v>44986</c:v>
                      </c:pt>
                      <c:pt idx="3">
                        <c:v>45017</c:v>
                      </c:pt>
                      <c:pt idx="4">
                        <c:v>45047</c:v>
                      </c:pt>
                      <c:pt idx="5">
                        <c:v>45078</c:v>
                      </c:pt>
                      <c:pt idx="6">
                        <c:v>45108</c:v>
                      </c:pt>
                      <c:pt idx="7">
                        <c:v>45139</c:v>
                      </c:pt>
                      <c:pt idx="8">
                        <c:v>45170</c:v>
                      </c:pt>
                      <c:pt idx="9">
                        <c:v>45200</c:v>
                      </c:pt>
                      <c:pt idx="10">
                        <c:v>45231</c:v>
                      </c:pt>
                      <c:pt idx="11">
                        <c:v>45261</c:v>
                      </c:pt>
                      <c:pt idx="12">
                        <c:v>45292</c:v>
                      </c:pt>
                      <c:pt idx="13">
                        <c:v>45323</c:v>
                      </c:pt>
                      <c:pt idx="14">
                        <c:v>45352</c:v>
                      </c:pt>
                      <c:pt idx="15">
                        <c:v>45383</c:v>
                      </c:pt>
                      <c:pt idx="16">
                        <c:v>45413</c:v>
                      </c:pt>
                      <c:pt idx="17">
                        <c:v>45444</c:v>
                      </c:pt>
                      <c:pt idx="18">
                        <c:v>45474</c:v>
                      </c:pt>
                      <c:pt idx="19">
                        <c:v>45505</c:v>
                      </c:pt>
                      <c:pt idx="20">
                        <c:v>45536</c:v>
                      </c:pt>
                      <c:pt idx="21">
                        <c:v>45566</c:v>
                      </c:pt>
                      <c:pt idx="22">
                        <c:v>45597</c:v>
                      </c:pt>
                      <c:pt idx="23">
                        <c:v>45627</c:v>
                      </c:pt>
                      <c:pt idx="24">
                        <c:v>45658</c:v>
                      </c:pt>
                      <c:pt idx="25">
                        <c:v>45689</c:v>
                      </c:pt>
                      <c:pt idx="26">
                        <c:v>45717</c:v>
                      </c:pt>
                      <c:pt idx="27">
                        <c:v>45748</c:v>
                      </c:pt>
                      <c:pt idx="28">
                        <c:v>45778</c:v>
                      </c:pt>
                      <c:pt idx="29">
                        <c:v>45809</c:v>
                      </c:pt>
                      <c:pt idx="30">
                        <c:v>45839</c:v>
                      </c:pt>
                      <c:pt idx="31">
                        <c:v>45870</c:v>
                      </c:pt>
                      <c:pt idx="32">
                        <c:v>45901</c:v>
                      </c:pt>
                      <c:pt idx="33">
                        <c:v>45931</c:v>
                      </c:pt>
                      <c:pt idx="34">
                        <c:v>45962</c:v>
                      </c:pt>
                      <c:pt idx="35">
                        <c:v>45992</c:v>
                      </c:pt>
                      <c:pt idx="36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'PIPR Annual change'!$AI$8:$AI$44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6.8551659999999996</c:v>
                      </c:pt>
                      <c:pt idx="1">
                        <c:v>8.0419409999999996</c:v>
                      </c:pt>
                      <c:pt idx="2">
                        <c:v>8.8893760000000004</c:v>
                      </c:pt>
                      <c:pt idx="3">
                        <c:v>9.4239580000000007</c:v>
                      </c:pt>
                      <c:pt idx="4">
                        <c:v>11.830957</c:v>
                      </c:pt>
                      <c:pt idx="5">
                        <c:v>14.610132999999999</c:v>
                      </c:pt>
                      <c:pt idx="6">
                        <c:v>17.987494000000002</c:v>
                      </c:pt>
                      <c:pt idx="7">
                        <c:v>18.797553000000001</c:v>
                      </c:pt>
                      <c:pt idx="8">
                        <c:v>18.441586000000001</c:v>
                      </c:pt>
                      <c:pt idx="9">
                        <c:v>17.191275999999998</c:v>
                      </c:pt>
                      <c:pt idx="10">
                        <c:v>15.319592</c:v>
                      </c:pt>
                      <c:pt idx="11">
                        <c:v>14.282233</c:v>
                      </c:pt>
                      <c:pt idx="12">
                        <c:v>13.853754</c:v>
                      </c:pt>
                      <c:pt idx="13">
                        <c:v>12.818300000000001</c:v>
                      </c:pt>
                      <c:pt idx="14">
                        <c:v>12.33845</c:v>
                      </c:pt>
                      <c:pt idx="15">
                        <c:v>11.593261</c:v>
                      </c:pt>
                      <c:pt idx="16">
                        <c:v>10.40152</c:v>
                      </c:pt>
                      <c:pt idx="17">
                        <c:v>9.1288780000000003</c:v>
                      </c:pt>
                      <c:pt idx="18">
                        <c:v>7.4364780000000001</c:v>
                      </c:pt>
                      <c:pt idx="19">
                        <c:v>6.9288559999999997</c:v>
                      </c:pt>
                      <c:pt idx="20">
                        <c:v>6.904102</c:v>
                      </c:pt>
                      <c:pt idx="21">
                        <c:v>7.9129849999999999</c:v>
                      </c:pt>
                      <c:pt idx="22">
                        <c:v>10.466272</c:v>
                      </c:pt>
                      <c:pt idx="23">
                        <c:v>12.559953</c:v>
                      </c:pt>
                      <c:pt idx="24">
                        <c:v>13.423883999999999</c:v>
                      </c:pt>
                      <c:pt idx="25">
                        <c:v>12.727183</c:v>
                      </c:pt>
                      <c:pt idx="26">
                        <c:v>11.287547999999999</c:v>
                      </c:pt>
                      <c:pt idx="27">
                        <c:v>10.254727000000001</c:v>
                      </c:pt>
                      <c:pt idx="28">
                        <c:v>8.8622320000000006</c:v>
                      </c:pt>
                      <c:pt idx="29">
                        <c:v>7.0691810000000004</c:v>
                      </c:pt>
                      <c:pt idx="30">
                        <c:v>5.6364299999999998</c:v>
                      </c:pt>
                      <c:pt idx="31">
                        <c:v>3.947746</c:v>
                      </c:pt>
                      <c:pt idx="32">
                        <c:v>3.9000620000000001</c:v>
                      </c:pt>
                      <c:pt idx="33">
                        <c:v>3.3705910000000001</c:v>
                      </c:pt>
                      <c:pt idx="34">
                        <c:v>2.5648330000000001</c:v>
                      </c:pt>
                      <c:pt idx="35">
                        <c:v>0.15299299999999999</c:v>
                      </c:pt>
                      <c:pt idx="36">
                        <c:v>-3.1321479999999999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2957-4E29-8472-37C5FAEB4880}"/>
                  </c:ext>
                </c:extLst>
              </c15:ser>
            </c15:filteredLineSeries>
          </c:ext>
        </c:extLst>
      </c:lineChart>
      <c:dateAx>
        <c:axId val="1438933432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937392"/>
        <c:crosses val="autoZero"/>
        <c:auto val="1"/>
        <c:lblOffset val="100"/>
        <c:baseTimeUnit val="months"/>
        <c:majorUnit val="6"/>
        <c:majorTimeUnit val="months"/>
      </c:dateAx>
      <c:valAx>
        <c:axId val="14389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%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933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Foundry Form Sans" panose="02000503050000020004" pitchFamily="2" charset="0"/>
                <a:ea typeface="+mn-ea"/>
                <a:cs typeface="+mn-cs"/>
              </a:defRPr>
            </a:pPr>
            <a:r>
              <a:rPr lang="en-GB" b="1"/>
              <a:t>Chart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Foundry Form Sans" panose="0200050305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'Rightmove Rental Price Tracker'!$C$7</c:f>
              <c:strCache>
                <c:ptCount val="1"/>
                <c:pt idx="0">
                  <c:v>London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'Rightmove Rental Price Tracker'!$B$8:$B$29</c:f>
              <c:strCache>
                <c:ptCount val="22"/>
                <c:pt idx="0">
                  <c:v>2020 Q3</c:v>
                </c:pt>
                <c:pt idx="1">
                  <c:v>2020 Q4</c:v>
                </c:pt>
                <c:pt idx="2">
                  <c:v>2021 Q1</c:v>
                </c:pt>
                <c:pt idx="3">
                  <c:v>2021 Q2</c:v>
                </c:pt>
                <c:pt idx="4">
                  <c:v>2021 Q3</c:v>
                </c:pt>
                <c:pt idx="5">
                  <c:v>2021 Q4</c:v>
                </c:pt>
                <c:pt idx="6">
                  <c:v>2022 Q1</c:v>
                </c:pt>
                <c:pt idx="7">
                  <c:v>2022 Q2</c:v>
                </c:pt>
                <c:pt idx="8">
                  <c:v>2022 Q3</c:v>
                </c:pt>
                <c:pt idx="9">
                  <c:v>2022 Q4</c:v>
                </c:pt>
                <c:pt idx="10">
                  <c:v>2023 Q1</c:v>
                </c:pt>
                <c:pt idx="11">
                  <c:v>2023 Q2</c:v>
                </c:pt>
                <c:pt idx="12">
                  <c:v>2023 Q3</c:v>
                </c:pt>
                <c:pt idx="13">
                  <c:v>2023 Q4</c:v>
                </c:pt>
                <c:pt idx="14">
                  <c:v>2024 Q1</c:v>
                </c:pt>
                <c:pt idx="15">
                  <c:v>2024 Q2</c:v>
                </c:pt>
                <c:pt idx="16">
                  <c:v>2024 Q3</c:v>
                </c:pt>
                <c:pt idx="17">
                  <c:v>2024 Q4</c:v>
                </c:pt>
                <c:pt idx="18">
                  <c:v>2025 Q1</c:v>
                </c:pt>
                <c:pt idx="19">
                  <c:v>2025 Q2</c:v>
                </c:pt>
                <c:pt idx="20">
                  <c:v>2025 Q3</c:v>
                </c:pt>
                <c:pt idx="21">
                  <c:v>2025 Q4</c:v>
                </c:pt>
              </c:strCache>
            </c:strRef>
          </c:cat>
          <c:val>
            <c:numRef>
              <c:f>'Rightmove Rental Price Tracker'!$C$8:$C$29</c:f>
              <c:numCache>
                <c:formatCode>0.0%</c:formatCode>
                <c:ptCount val="22"/>
                <c:pt idx="0">
                  <c:v>-0.03</c:v>
                </c:pt>
                <c:pt idx="1">
                  <c:v>-6.4000000000000001E-2</c:v>
                </c:pt>
                <c:pt idx="2">
                  <c:v>-7.8192938836399772E-2</c:v>
                </c:pt>
                <c:pt idx="3">
                  <c:v>-3.0830432620586823E-2</c:v>
                </c:pt>
                <c:pt idx="4">
                  <c:v>2.7E-2</c:v>
                </c:pt>
                <c:pt idx="5">
                  <c:v>0.109</c:v>
                </c:pt>
                <c:pt idx="6">
                  <c:v>0.14299999999999999</c:v>
                </c:pt>
                <c:pt idx="7">
                  <c:v>0.158</c:v>
                </c:pt>
                <c:pt idx="8">
                  <c:v>0.161</c:v>
                </c:pt>
                <c:pt idx="9">
                  <c:v>0.157</c:v>
                </c:pt>
                <c:pt idx="10">
                  <c:v>0.14000000000000001</c:v>
                </c:pt>
                <c:pt idx="11">
                  <c:v>0.1373504652193176</c:v>
                </c:pt>
                <c:pt idx="12">
                  <c:v>0.121</c:v>
                </c:pt>
                <c:pt idx="13">
                  <c:v>6.0999999999999999E-2</c:v>
                </c:pt>
                <c:pt idx="14" formatCode="0.00%">
                  <c:v>5.2999999999999999E-2</c:v>
                </c:pt>
                <c:pt idx="15" formatCode="0.00%">
                  <c:v>3.6999999999999998E-2</c:v>
                </c:pt>
                <c:pt idx="16" formatCode="0.00%">
                  <c:v>2.5000000000000001E-2</c:v>
                </c:pt>
                <c:pt idx="17" formatCode="0.00%">
                  <c:v>2.4E-2</c:v>
                </c:pt>
                <c:pt idx="18" formatCode="0.00%">
                  <c:v>2.5000000000000001E-2</c:v>
                </c:pt>
                <c:pt idx="19" formatCode="0.00%">
                  <c:v>1.9E-2</c:v>
                </c:pt>
                <c:pt idx="20" formatCode="0.00%">
                  <c:v>1.6E-2</c:v>
                </c:pt>
                <c:pt idx="21" formatCode="0.00%">
                  <c:v>8.0000000000000002E-3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F2-4439-907B-2DBC758769AE}"/>
            </c:ext>
          </c:extLst>
        </c:ser>
        <c:ser>
          <c:idx val="1"/>
          <c:order val="1"/>
          <c:tx>
            <c:strRef>
              <c:f>'Rightmove Rental Price Tracker'!$D$7</c:f>
              <c:strCache>
                <c:ptCount val="1"/>
                <c:pt idx="0">
                  <c:v>Inner London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'Rightmove Rental Price Tracker'!$B$8:$B$29</c:f>
              <c:strCache>
                <c:ptCount val="22"/>
                <c:pt idx="0">
                  <c:v>2020 Q3</c:v>
                </c:pt>
                <c:pt idx="1">
                  <c:v>2020 Q4</c:v>
                </c:pt>
                <c:pt idx="2">
                  <c:v>2021 Q1</c:v>
                </c:pt>
                <c:pt idx="3">
                  <c:v>2021 Q2</c:v>
                </c:pt>
                <c:pt idx="4">
                  <c:v>2021 Q3</c:v>
                </c:pt>
                <c:pt idx="5">
                  <c:v>2021 Q4</c:v>
                </c:pt>
                <c:pt idx="6">
                  <c:v>2022 Q1</c:v>
                </c:pt>
                <c:pt idx="7">
                  <c:v>2022 Q2</c:v>
                </c:pt>
                <c:pt idx="8">
                  <c:v>2022 Q3</c:v>
                </c:pt>
                <c:pt idx="9">
                  <c:v>2022 Q4</c:v>
                </c:pt>
                <c:pt idx="10">
                  <c:v>2023 Q1</c:v>
                </c:pt>
                <c:pt idx="11">
                  <c:v>2023 Q2</c:v>
                </c:pt>
                <c:pt idx="12">
                  <c:v>2023 Q3</c:v>
                </c:pt>
                <c:pt idx="13">
                  <c:v>2023 Q4</c:v>
                </c:pt>
                <c:pt idx="14">
                  <c:v>2024 Q1</c:v>
                </c:pt>
                <c:pt idx="15">
                  <c:v>2024 Q2</c:v>
                </c:pt>
                <c:pt idx="16">
                  <c:v>2024 Q3</c:v>
                </c:pt>
                <c:pt idx="17">
                  <c:v>2024 Q4</c:v>
                </c:pt>
                <c:pt idx="18">
                  <c:v>2025 Q1</c:v>
                </c:pt>
                <c:pt idx="19">
                  <c:v>2025 Q2</c:v>
                </c:pt>
                <c:pt idx="20">
                  <c:v>2025 Q3</c:v>
                </c:pt>
                <c:pt idx="21">
                  <c:v>2025 Q4</c:v>
                </c:pt>
              </c:strCache>
            </c:strRef>
          </c:cat>
          <c:val>
            <c:numRef>
              <c:f>'Rightmove Rental Price Tracker'!$D$8:$D$29</c:f>
              <c:numCache>
                <c:formatCode>0.0%</c:formatCode>
                <c:ptCount val="22"/>
                <c:pt idx="0">
                  <c:v>-6.8000000000000005E-2</c:v>
                </c:pt>
                <c:pt idx="1">
                  <c:v>-0.124</c:v>
                </c:pt>
                <c:pt idx="2">
                  <c:v>-0.14000000000000001</c:v>
                </c:pt>
                <c:pt idx="3">
                  <c:v>-6.8000000000000005E-2</c:v>
                </c:pt>
                <c:pt idx="4">
                  <c:v>2.5999999999999999E-2</c:v>
                </c:pt>
                <c:pt idx="5">
                  <c:v>0.16200000000000001</c:v>
                </c:pt>
                <c:pt idx="6">
                  <c:v>0.20699999999999999</c:v>
                </c:pt>
                <c:pt idx="7">
                  <c:v>0.21099999999999999</c:v>
                </c:pt>
                <c:pt idx="8">
                  <c:v>0.193</c:v>
                </c:pt>
                <c:pt idx="9">
                  <c:v>0.16800000000000001</c:v>
                </c:pt>
                <c:pt idx="10">
                  <c:v>0.14000000000000001</c:v>
                </c:pt>
                <c:pt idx="11">
                  <c:v>0.13590790939472708</c:v>
                </c:pt>
                <c:pt idx="12">
                  <c:v>0.11600000000000001</c:v>
                </c:pt>
                <c:pt idx="13">
                  <c:v>3.4000000000000002E-2</c:v>
                </c:pt>
                <c:pt idx="14" formatCode="0.00%">
                  <c:v>2.8000000000000001E-2</c:v>
                </c:pt>
                <c:pt idx="15" formatCode="0.00%">
                  <c:v>2.4E-2</c:v>
                </c:pt>
                <c:pt idx="16">
                  <c:v>1.6E-2</c:v>
                </c:pt>
                <c:pt idx="17">
                  <c:v>2.1999999999999999E-2</c:v>
                </c:pt>
                <c:pt idx="18">
                  <c:v>2.5000000000000001E-2</c:v>
                </c:pt>
                <c:pt idx="19" formatCode="0.00%">
                  <c:v>1.9E-2</c:v>
                </c:pt>
                <c:pt idx="20">
                  <c:v>1.3999999999999999E-2</c:v>
                </c:pt>
                <c:pt idx="21" formatCode="0.00%">
                  <c:v>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F2-4439-907B-2DBC758769AE}"/>
            </c:ext>
          </c:extLst>
        </c:ser>
        <c:ser>
          <c:idx val="2"/>
          <c:order val="2"/>
          <c:tx>
            <c:strRef>
              <c:f>'Rightmove Rental Price Tracker'!$E$7</c:f>
              <c:strCache>
                <c:ptCount val="1"/>
                <c:pt idx="0">
                  <c:v>Outer London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'Rightmove Rental Price Tracker'!$B$8:$B$29</c:f>
              <c:strCache>
                <c:ptCount val="22"/>
                <c:pt idx="0">
                  <c:v>2020 Q3</c:v>
                </c:pt>
                <c:pt idx="1">
                  <c:v>2020 Q4</c:v>
                </c:pt>
                <c:pt idx="2">
                  <c:v>2021 Q1</c:v>
                </c:pt>
                <c:pt idx="3">
                  <c:v>2021 Q2</c:v>
                </c:pt>
                <c:pt idx="4">
                  <c:v>2021 Q3</c:v>
                </c:pt>
                <c:pt idx="5">
                  <c:v>2021 Q4</c:v>
                </c:pt>
                <c:pt idx="6">
                  <c:v>2022 Q1</c:v>
                </c:pt>
                <c:pt idx="7">
                  <c:v>2022 Q2</c:v>
                </c:pt>
                <c:pt idx="8">
                  <c:v>2022 Q3</c:v>
                </c:pt>
                <c:pt idx="9">
                  <c:v>2022 Q4</c:v>
                </c:pt>
                <c:pt idx="10">
                  <c:v>2023 Q1</c:v>
                </c:pt>
                <c:pt idx="11">
                  <c:v>2023 Q2</c:v>
                </c:pt>
                <c:pt idx="12">
                  <c:v>2023 Q3</c:v>
                </c:pt>
                <c:pt idx="13">
                  <c:v>2023 Q4</c:v>
                </c:pt>
                <c:pt idx="14">
                  <c:v>2024 Q1</c:v>
                </c:pt>
                <c:pt idx="15">
                  <c:v>2024 Q2</c:v>
                </c:pt>
                <c:pt idx="16">
                  <c:v>2024 Q3</c:v>
                </c:pt>
                <c:pt idx="17">
                  <c:v>2024 Q4</c:v>
                </c:pt>
                <c:pt idx="18">
                  <c:v>2025 Q1</c:v>
                </c:pt>
                <c:pt idx="19">
                  <c:v>2025 Q2</c:v>
                </c:pt>
                <c:pt idx="20">
                  <c:v>2025 Q3</c:v>
                </c:pt>
                <c:pt idx="21">
                  <c:v>2025 Q4</c:v>
                </c:pt>
              </c:strCache>
            </c:strRef>
          </c:cat>
          <c:val>
            <c:numRef>
              <c:f>'Rightmove Rental Price Tracker'!$E$8:$E$29</c:f>
              <c:numCache>
                <c:formatCode>0.0%</c:formatCode>
                <c:ptCount val="22"/>
                <c:pt idx="0">
                  <c:v>8.0000000000000002E-3</c:v>
                </c:pt>
                <c:pt idx="1">
                  <c:v>0</c:v>
                </c:pt>
                <c:pt idx="2">
                  <c:v>-1.0999999999999999E-2</c:v>
                </c:pt>
                <c:pt idx="3">
                  <c:v>8.0000000000000002E-3</c:v>
                </c:pt>
                <c:pt idx="4">
                  <c:v>2.7E-2</c:v>
                </c:pt>
                <c:pt idx="5">
                  <c:v>5.7999999999999996E-2</c:v>
                </c:pt>
                <c:pt idx="6">
                  <c:v>8.1000000000000003E-2</c:v>
                </c:pt>
                <c:pt idx="7">
                  <c:v>0.108</c:v>
                </c:pt>
                <c:pt idx="8">
                  <c:v>0.129</c:v>
                </c:pt>
                <c:pt idx="9">
                  <c:v>0.14599999999999999</c:v>
                </c:pt>
                <c:pt idx="10">
                  <c:v>0.14199999999999999</c:v>
                </c:pt>
                <c:pt idx="11">
                  <c:v>0.13887454827052137</c:v>
                </c:pt>
                <c:pt idx="12">
                  <c:v>0.128</c:v>
                </c:pt>
                <c:pt idx="13">
                  <c:v>0.09</c:v>
                </c:pt>
                <c:pt idx="14" formatCode="0.00%">
                  <c:v>7.8E-2</c:v>
                </c:pt>
                <c:pt idx="15" formatCode="0.00%">
                  <c:v>5.0999999999999997E-2</c:v>
                </c:pt>
                <c:pt idx="16" formatCode="0.00%">
                  <c:v>3.4000000000000002E-2</c:v>
                </c:pt>
                <c:pt idx="17">
                  <c:v>2.7E-2</c:v>
                </c:pt>
                <c:pt idx="18" formatCode="0.00%">
                  <c:v>2.5000000000000001E-2</c:v>
                </c:pt>
                <c:pt idx="19" formatCode="0.00%">
                  <c:v>1.9E-2</c:v>
                </c:pt>
                <c:pt idx="20" formatCode="0.00%">
                  <c:v>1.8000000000000002E-2</c:v>
                </c:pt>
                <c:pt idx="21" formatCode="0.00%">
                  <c:v>1.0999999999999999E-2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F2-4439-907B-2DBC758769AE}"/>
            </c:ext>
          </c:extLst>
        </c:ser>
        <c:ser>
          <c:idx val="3"/>
          <c:order val="3"/>
          <c:tx>
            <c:strRef>
              <c:f>'Rightmove Rental Price Tracker'!$F$7</c:f>
              <c:strCache>
                <c:ptCount val="1"/>
                <c:pt idx="0">
                  <c:v>Rest of Britain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'Rightmove Rental Price Tracker'!$B$8:$B$29</c:f>
              <c:strCache>
                <c:ptCount val="22"/>
                <c:pt idx="0">
                  <c:v>2020 Q3</c:v>
                </c:pt>
                <c:pt idx="1">
                  <c:v>2020 Q4</c:v>
                </c:pt>
                <c:pt idx="2">
                  <c:v>2021 Q1</c:v>
                </c:pt>
                <c:pt idx="3">
                  <c:v>2021 Q2</c:v>
                </c:pt>
                <c:pt idx="4">
                  <c:v>2021 Q3</c:v>
                </c:pt>
                <c:pt idx="5">
                  <c:v>2021 Q4</c:v>
                </c:pt>
                <c:pt idx="6">
                  <c:v>2022 Q1</c:v>
                </c:pt>
                <c:pt idx="7">
                  <c:v>2022 Q2</c:v>
                </c:pt>
                <c:pt idx="8">
                  <c:v>2022 Q3</c:v>
                </c:pt>
                <c:pt idx="9">
                  <c:v>2022 Q4</c:v>
                </c:pt>
                <c:pt idx="10">
                  <c:v>2023 Q1</c:v>
                </c:pt>
                <c:pt idx="11">
                  <c:v>2023 Q2</c:v>
                </c:pt>
                <c:pt idx="12">
                  <c:v>2023 Q3</c:v>
                </c:pt>
                <c:pt idx="13">
                  <c:v>2023 Q4</c:v>
                </c:pt>
                <c:pt idx="14">
                  <c:v>2024 Q1</c:v>
                </c:pt>
                <c:pt idx="15">
                  <c:v>2024 Q2</c:v>
                </c:pt>
                <c:pt idx="16">
                  <c:v>2024 Q3</c:v>
                </c:pt>
                <c:pt idx="17">
                  <c:v>2024 Q4</c:v>
                </c:pt>
                <c:pt idx="18">
                  <c:v>2025 Q1</c:v>
                </c:pt>
                <c:pt idx="19">
                  <c:v>2025 Q2</c:v>
                </c:pt>
                <c:pt idx="20">
                  <c:v>2025 Q3</c:v>
                </c:pt>
                <c:pt idx="21">
                  <c:v>2025 Q4</c:v>
                </c:pt>
              </c:strCache>
            </c:strRef>
          </c:cat>
          <c:val>
            <c:numRef>
              <c:f>'Rightmove Rental Price Tracker'!$F$8:$F$29</c:f>
              <c:numCache>
                <c:formatCode>0.0%</c:formatCode>
                <c:ptCount val="22"/>
                <c:pt idx="0">
                  <c:v>2.4E-2</c:v>
                </c:pt>
                <c:pt idx="1">
                  <c:v>3.6999999999999998E-2</c:v>
                </c:pt>
                <c:pt idx="2">
                  <c:v>4.2000000000000003E-2</c:v>
                </c:pt>
                <c:pt idx="3">
                  <c:v>6.2E-2</c:v>
                </c:pt>
                <c:pt idx="4">
                  <c:v>8.5999999999999993E-2</c:v>
                </c:pt>
                <c:pt idx="5">
                  <c:v>9.9000000000000005E-2</c:v>
                </c:pt>
                <c:pt idx="6">
                  <c:v>0.108</c:v>
                </c:pt>
                <c:pt idx="7">
                  <c:v>0.11799999999999999</c:v>
                </c:pt>
                <c:pt idx="8">
                  <c:v>0.11</c:v>
                </c:pt>
                <c:pt idx="9">
                  <c:v>9.6999999999999989E-2</c:v>
                </c:pt>
                <c:pt idx="10">
                  <c:v>9.4E-2</c:v>
                </c:pt>
                <c:pt idx="11">
                  <c:v>9.2999999999999999E-2</c:v>
                </c:pt>
                <c:pt idx="12">
                  <c:v>0.1</c:v>
                </c:pt>
                <c:pt idx="13">
                  <c:v>9.1999999999999998E-2</c:v>
                </c:pt>
                <c:pt idx="14" formatCode="0.00%">
                  <c:v>8.5000000000000006E-2</c:v>
                </c:pt>
                <c:pt idx="15" formatCode="0.00%">
                  <c:v>6.8000000000000005E-2</c:v>
                </c:pt>
                <c:pt idx="16" formatCode="0.00%">
                  <c:v>5.1999999999999998E-2</c:v>
                </c:pt>
                <c:pt idx="17" formatCode="0.00%">
                  <c:v>4.7E-2</c:v>
                </c:pt>
                <c:pt idx="18" formatCode="0.00%">
                  <c:v>4.4999999999999998E-2</c:v>
                </c:pt>
                <c:pt idx="19" formatCode="0.00%">
                  <c:v>3.9E-2</c:v>
                </c:pt>
                <c:pt idx="20" formatCode="0.00%">
                  <c:v>3.1E-2</c:v>
                </c:pt>
                <c:pt idx="21" formatCode="0.00%">
                  <c:v>2.1999999999999999E-2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08D-404B-928D-E189C503F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117624"/>
        <c:axId val="1683115104"/>
      </c:lineChart>
      <c:catAx>
        <c:axId val="1683117624"/>
        <c:scaling>
          <c:orientation val="minMax"/>
        </c:scaling>
        <c:delete val="0"/>
        <c:axPos val="b"/>
        <c:numFmt formatCode="mm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oundry Form Sans" panose="02000503050000020004" pitchFamily="2" charset="0"/>
                <a:ea typeface="+mn-ea"/>
                <a:cs typeface="+mn-cs"/>
              </a:defRPr>
            </a:pPr>
            <a:endParaRPr lang="en-US"/>
          </a:p>
        </c:txPr>
        <c:crossAx val="1683115104"/>
        <c:crosses val="autoZero"/>
        <c:auto val="1"/>
        <c:lblAlgn val="ctr"/>
        <c:lblOffset val="100"/>
        <c:noMultiLvlLbl val="0"/>
      </c:catAx>
      <c:valAx>
        <c:axId val="16831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oundry Form Sans" panose="02000503050000020004" pitchFamily="2" charset="0"/>
                <a:ea typeface="+mn-ea"/>
                <a:cs typeface="+mn-cs"/>
              </a:defRPr>
            </a:pPr>
            <a:endParaRPr lang="en-US"/>
          </a:p>
        </c:txPr>
        <c:crossAx val="1683117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oundry Form Sans" panose="0200050305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Foundry Form Sans" panose="0200050305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Foundry Form Sans" panose="02000503050000020004" pitchFamily="2" charset="0"/>
                <a:ea typeface="+mn-ea"/>
                <a:cs typeface="+mn-cs"/>
              </a:defRPr>
            </a:pPr>
            <a:r>
              <a:rPr lang="en-GB"/>
              <a:t>Chart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Foundry Form Sans" panose="0200050305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795926870105479E-2"/>
          <c:y val="8.4615860537768789E-2"/>
          <c:w val="0.82047096808054487"/>
          <c:h val="0.88915502474982755"/>
        </c:manualLayout>
      </c:layout>
      <c:lineChart>
        <c:grouping val="standard"/>
        <c:varyColors val="0"/>
        <c:ser>
          <c:idx val="2"/>
          <c:order val="2"/>
          <c:tx>
            <c:strRef>
              <c:f>'Homelet Rental Index'!$E$8</c:f>
              <c:strCache>
                <c:ptCount val="1"/>
                <c:pt idx="0">
                  <c:v>UK change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'Homelet Rental Index'!$B$27:$B$147</c:f>
              <c:numCache>
                <c:formatCode>mmm\-yy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'Homelet Rental Index'!$E$27:$E$147</c:f>
              <c:numCache>
                <c:formatCode>0.0%</c:formatCode>
                <c:ptCount val="121"/>
                <c:pt idx="0">
                  <c:v>3.9225483248083171E-2</c:v>
                </c:pt>
                <c:pt idx="1">
                  <c:v>4.0684246565947824E-2</c:v>
                </c:pt>
                <c:pt idx="2">
                  <c:v>4.6529676769631489E-2</c:v>
                </c:pt>
                <c:pt idx="3">
                  <c:v>4.4865629459488243E-2</c:v>
                </c:pt>
                <c:pt idx="4">
                  <c:v>4.5725586787712436E-2</c:v>
                </c:pt>
                <c:pt idx="5">
                  <c:v>4.7156074996435038E-2</c:v>
                </c:pt>
                <c:pt idx="6">
                  <c:v>4.5626718634930397E-2</c:v>
                </c:pt>
                <c:pt idx="7">
                  <c:v>3.9732597589866137E-2</c:v>
                </c:pt>
                <c:pt idx="8">
                  <c:v>3.1444986268604591E-2</c:v>
                </c:pt>
                <c:pt idx="9">
                  <c:v>3.0429352282982158E-2</c:v>
                </c:pt>
                <c:pt idx="10">
                  <c:v>2.9204295973084049E-2</c:v>
                </c:pt>
                <c:pt idx="11">
                  <c:v>1.7143037601199174E-2</c:v>
                </c:pt>
                <c:pt idx="12">
                  <c:v>7.1861716711936197E-3</c:v>
                </c:pt>
                <c:pt idx="13">
                  <c:v>8.0772790914354076E-3</c:v>
                </c:pt>
                <c:pt idx="14">
                  <c:v>1.1222646629628352E-2</c:v>
                </c:pt>
                <c:pt idx="15">
                  <c:v>4.160492749160305E-3</c:v>
                </c:pt>
                <c:pt idx="16">
                  <c:v>-3.2405906826656894E-3</c:v>
                </c:pt>
                <c:pt idx="17">
                  <c:v>-2.0104872431001564E-3</c:v>
                </c:pt>
                <c:pt idx="18">
                  <c:v>1.0840913638451299E-2</c:v>
                </c:pt>
                <c:pt idx="19">
                  <c:v>2.4519400567773575E-2</c:v>
                </c:pt>
                <c:pt idx="20">
                  <c:v>2.0925110132158586E-2</c:v>
                </c:pt>
                <c:pt idx="21">
                  <c:v>8.9664820002710588E-3</c:v>
                </c:pt>
                <c:pt idx="22">
                  <c:v>6.7129041885494178E-3</c:v>
                </c:pt>
                <c:pt idx="23">
                  <c:v>1.6624329736889321E-2</c:v>
                </c:pt>
                <c:pt idx="24">
                  <c:v>2.3388652612579497E-2</c:v>
                </c:pt>
                <c:pt idx="25">
                  <c:v>1.2423305582207167E-2</c:v>
                </c:pt>
                <c:pt idx="26">
                  <c:v>8.3349051711880673E-3</c:v>
                </c:pt>
                <c:pt idx="27">
                  <c:v>1.5595812337807491E-2</c:v>
                </c:pt>
                <c:pt idx="28">
                  <c:v>1.9930711301231696E-2</c:v>
                </c:pt>
                <c:pt idx="29">
                  <c:v>1.7621145374449254E-2</c:v>
                </c:pt>
                <c:pt idx="30">
                  <c:v>1.2972972972973063E-2</c:v>
                </c:pt>
                <c:pt idx="31">
                  <c:v>8.5197018104365974E-3</c:v>
                </c:pt>
                <c:pt idx="32">
                  <c:v>1.7259978425026912E-2</c:v>
                </c:pt>
                <c:pt idx="33">
                  <c:v>2.0902090209020896E-2</c:v>
                </c:pt>
                <c:pt idx="34">
                  <c:v>1.5486725663716783E-2</c:v>
                </c:pt>
                <c:pt idx="35">
                  <c:v>1.5435501653803696E-2</c:v>
                </c:pt>
                <c:pt idx="36">
                  <c:v>2.5302530253025202E-2</c:v>
                </c:pt>
                <c:pt idx="37">
                  <c:v>3.7527593818984517E-2</c:v>
                </c:pt>
                <c:pt idx="38">
                  <c:v>3.289473684210531E-2</c:v>
                </c:pt>
                <c:pt idx="39">
                  <c:v>1.9607843137254832E-2</c:v>
                </c:pt>
                <c:pt idx="40">
                  <c:v>1.6322089227421177E-2</c:v>
                </c:pt>
                <c:pt idx="41">
                  <c:v>1.8398268398268414E-2</c:v>
                </c:pt>
                <c:pt idx="42">
                  <c:v>2.3479188900747072E-2</c:v>
                </c:pt>
                <c:pt idx="43">
                  <c:v>2.428722280887019E-2</c:v>
                </c:pt>
                <c:pt idx="44">
                  <c:v>2.5450689289501671E-2</c:v>
                </c:pt>
                <c:pt idx="45">
                  <c:v>2.6939655172413701E-2</c:v>
                </c:pt>
                <c:pt idx="46">
                  <c:v>3.1590413943355156E-2</c:v>
                </c:pt>
                <c:pt idx="47">
                  <c:v>3.4744842562432154E-2</c:v>
                </c:pt>
                <c:pt idx="48">
                  <c:v>2.2532188841201783E-2</c:v>
                </c:pt>
                <c:pt idx="49">
                  <c:v>1.5957446808510634E-2</c:v>
                </c:pt>
                <c:pt idx="50">
                  <c:v>1.8046709129511784E-2</c:v>
                </c:pt>
                <c:pt idx="51">
                  <c:v>3.4188034188034289E-2</c:v>
                </c:pt>
                <c:pt idx="52">
                  <c:v>2.6766595289079209E-2</c:v>
                </c:pt>
                <c:pt idx="53">
                  <c:v>1.0626992561105109E-2</c:v>
                </c:pt>
                <c:pt idx="54">
                  <c:v>6.2565172054223073E-3</c:v>
                </c:pt>
                <c:pt idx="55">
                  <c:v>1.5463917525773141E-2</c:v>
                </c:pt>
                <c:pt idx="56">
                  <c:v>2.0682523267838704E-2</c:v>
                </c:pt>
                <c:pt idx="57">
                  <c:v>2.2035676810073346E-2</c:v>
                </c:pt>
                <c:pt idx="58">
                  <c:v>2.8511087645195277E-2</c:v>
                </c:pt>
                <c:pt idx="59">
                  <c:v>2.7282266526757581E-2</c:v>
                </c:pt>
                <c:pt idx="60">
                  <c:v>2.9380902413431276E-2</c:v>
                </c:pt>
                <c:pt idx="61">
                  <c:v>3.0366492146596924E-2</c:v>
                </c:pt>
                <c:pt idx="62">
                  <c:v>3.4410844629822801E-2</c:v>
                </c:pt>
                <c:pt idx="63">
                  <c:v>2.8925619834710758E-2</c:v>
                </c:pt>
                <c:pt idx="64">
                  <c:v>3.9624608967674613E-2</c:v>
                </c:pt>
                <c:pt idx="65">
                  <c:v>5.8885383806519531E-2</c:v>
                </c:pt>
                <c:pt idx="66">
                  <c:v>6.6321243523316031E-2</c:v>
                </c:pt>
                <c:pt idx="67">
                  <c:v>6.9035532994923932E-2</c:v>
                </c:pt>
                <c:pt idx="68">
                  <c:v>7.4974670719351488E-2</c:v>
                </c:pt>
                <c:pt idx="69">
                  <c:v>8.7268993839835662E-2</c:v>
                </c:pt>
                <c:pt idx="70">
                  <c:v>8.6242299794661248E-2</c:v>
                </c:pt>
                <c:pt idx="71">
                  <c:v>8.2737487231869355E-2</c:v>
                </c:pt>
                <c:pt idx="72">
                  <c:v>8.4607543323139689E-2</c:v>
                </c:pt>
                <c:pt idx="73">
                  <c:v>8.6382113821138251E-2</c:v>
                </c:pt>
                <c:pt idx="74">
                  <c:v>8.6693548387096753E-2</c:v>
                </c:pt>
                <c:pt idx="75">
                  <c:v>9.5381526104417746E-2</c:v>
                </c:pt>
                <c:pt idx="76">
                  <c:v>0.10631895687061177</c:v>
                </c:pt>
                <c:pt idx="77">
                  <c:v>0.10526315789473695</c:v>
                </c:pt>
                <c:pt idx="78">
                  <c:v>9.5238095238095344E-2</c:v>
                </c:pt>
                <c:pt idx="79">
                  <c:v>8.5470085470085388E-2</c:v>
                </c:pt>
                <c:pt idx="80">
                  <c:v>9.236569274269546E-2</c:v>
                </c:pt>
                <c:pt idx="81">
                  <c:v>0.10576015108593007</c:v>
                </c:pt>
                <c:pt idx="82">
                  <c:v>0.11058601134215507</c:v>
                </c:pt>
                <c:pt idx="83">
                  <c:v>0.10754716981132084</c:v>
                </c:pt>
                <c:pt idx="84">
                  <c:v>0.10150375939849621</c:v>
                </c:pt>
                <c:pt idx="85">
                  <c:v>9.9158091674462101E-2</c:v>
                </c:pt>
                <c:pt idx="86">
                  <c:v>9.8330241187384093E-2</c:v>
                </c:pt>
                <c:pt idx="87">
                  <c:v>9.8991750687442703E-2</c:v>
                </c:pt>
                <c:pt idx="88">
                  <c:v>9.972801450589297E-2</c:v>
                </c:pt>
                <c:pt idx="89">
                  <c:v>0.10422282120395332</c:v>
                </c:pt>
                <c:pt idx="90">
                  <c:v>0.10292812777284821</c:v>
                </c:pt>
                <c:pt idx="91">
                  <c:v>0.10323709536307968</c:v>
                </c:pt>
                <c:pt idx="92">
                  <c:v>0.1009490940465918</c:v>
                </c:pt>
                <c:pt idx="93">
                  <c:v>9.5644748078565378E-2</c:v>
                </c:pt>
                <c:pt idx="94">
                  <c:v>8.8510638297872424E-2</c:v>
                </c:pt>
                <c:pt idx="95">
                  <c:v>8.0068143100511024E-2</c:v>
                </c:pt>
                <c:pt idx="96">
                  <c:v>7.5085324232081918E-2</c:v>
                </c:pt>
                <c:pt idx="97">
                  <c:v>7.4042553191489446E-2</c:v>
                </c:pt>
                <c:pt idx="98">
                  <c:v>7.5168918918918859E-2</c:v>
                </c:pt>
                <c:pt idx="99">
                  <c:v>7.9232693911593044E-2</c:v>
                </c:pt>
                <c:pt idx="100">
                  <c:v>6.9249793899422984E-2</c:v>
                </c:pt>
                <c:pt idx="101">
                  <c:v>5.6956875508543447E-2</c:v>
                </c:pt>
                <c:pt idx="102">
                  <c:v>5.2292839903459454E-2</c:v>
                </c:pt>
                <c:pt idx="103">
                  <c:v>5.0753370340999249E-2</c:v>
                </c:pt>
                <c:pt idx="104">
                  <c:v>4.31034482758621E-2</c:v>
                </c:pt>
                <c:pt idx="105">
                  <c:v>3.4294621979735096E-2</c:v>
                </c:pt>
                <c:pt idx="106">
                  <c:v>2.1892103205629398E-2</c:v>
                </c:pt>
                <c:pt idx="107">
                  <c:v>1.2618296529968376E-2</c:v>
                </c:pt>
                <c:pt idx="108">
                  <c:v>8.7301587301586991E-3</c:v>
                </c:pt>
                <c:pt idx="109">
                  <c:v>1.0301109350237647E-2</c:v>
                </c:pt>
                <c:pt idx="110">
                  <c:v>1.178318931657496E-2</c:v>
                </c:pt>
                <c:pt idx="111">
                  <c:v>3.0911901081915882E-3</c:v>
                </c:pt>
                <c:pt idx="112">
                  <c:v>7.7101002313029188E-3</c:v>
                </c:pt>
                <c:pt idx="113">
                  <c:v>6.9284064665127154E-3</c:v>
                </c:pt>
                <c:pt idx="114">
                  <c:v>3.8226299694190669E-3</c:v>
                </c:pt>
                <c:pt idx="115">
                  <c:v>2.2641509433962703E-3</c:v>
                </c:pt>
                <c:pt idx="116">
                  <c:v>9.0157776108188425E-3</c:v>
                </c:pt>
                <c:pt idx="117">
                  <c:v>1.35644310474754E-2</c:v>
                </c:pt>
                <c:pt idx="118">
                  <c:v>2.2953328232593773E-2</c:v>
                </c:pt>
                <c:pt idx="119">
                  <c:v>2.5700934579439227E-2</c:v>
                </c:pt>
                <c:pt idx="120">
                  <c:v>2.4390243902439046E-2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F2-4439-907B-2DBC758769AE}"/>
            </c:ext>
          </c:extLst>
        </c:ser>
        <c:ser>
          <c:idx val="3"/>
          <c:order val="3"/>
          <c:tx>
            <c:strRef>
              <c:f>'Homelet Rental Index'!$F$8</c:f>
              <c:strCache>
                <c:ptCount val="1"/>
                <c:pt idx="0">
                  <c:v>London change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'Homelet Rental Index'!$B$27:$B$147</c:f>
              <c:numCache>
                <c:formatCode>mmm\-yy</c:formatCode>
                <c:ptCount val="121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</c:numCache>
            </c:numRef>
          </c:cat>
          <c:val>
            <c:numRef>
              <c:f>'Homelet Rental Index'!$F$27:$F$147</c:f>
              <c:numCache>
                <c:formatCode>0.0%</c:formatCode>
                <c:ptCount val="121"/>
                <c:pt idx="0">
                  <c:v>5.3786270346779963E-2</c:v>
                </c:pt>
                <c:pt idx="1">
                  <c:v>6.0924369747899165E-2</c:v>
                </c:pt>
                <c:pt idx="2">
                  <c:v>6.9930069930070005E-2</c:v>
                </c:pt>
                <c:pt idx="3">
                  <c:v>5.8459422283356322E-2</c:v>
                </c:pt>
                <c:pt idx="4">
                  <c:v>6.1686086360520864E-2</c:v>
                </c:pt>
                <c:pt idx="5">
                  <c:v>6.1778682959945597E-2</c:v>
                </c:pt>
                <c:pt idx="6">
                  <c:v>7.1525885558583191E-2</c:v>
                </c:pt>
                <c:pt idx="7">
                  <c:v>5.727762803234504E-2</c:v>
                </c:pt>
                <c:pt idx="8">
                  <c:v>3.9228723404255428E-2</c:v>
                </c:pt>
                <c:pt idx="9">
                  <c:v>2.9960053262316988E-2</c:v>
                </c:pt>
                <c:pt idx="10">
                  <c:v>2.5418060200668835E-2</c:v>
                </c:pt>
                <c:pt idx="11">
                  <c:v>2.0283975659229236E-2</c:v>
                </c:pt>
                <c:pt idx="12">
                  <c:v>5.3727333781061759E-3</c:v>
                </c:pt>
                <c:pt idx="13">
                  <c:v>3.3003300330032292E-3</c:v>
                </c:pt>
                <c:pt idx="14">
                  <c:v>1.0457516339869244E-2</c:v>
                </c:pt>
                <c:pt idx="15">
                  <c:v>-1.2995451591942819E-2</c:v>
                </c:pt>
                <c:pt idx="16">
                  <c:v>-3.0342156229825723E-2</c:v>
                </c:pt>
                <c:pt idx="17">
                  <c:v>-2.5575447570332477E-2</c:v>
                </c:pt>
                <c:pt idx="18">
                  <c:v>-5.7215511760966287E-3</c:v>
                </c:pt>
                <c:pt idx="19">
                  <c:v>2.5493945188017841E-2</c:v>
                </c:pt>
                <c:pt idx="20">
                  <c:v>1.9193857965451144E-2</c:v>
                </c:pt>
                <c:pt idx="21">
                  <c:v>5.8177117000646206E-3</c:v>
                </c:pt>
                <c:pt idx="22">
                  <c:v>-1.9569471624266699E-3</c:v>
                </c:pt>
                <c:pt idx="23">
                  <c:v>9.9403578528827197E-3</c:v>
                </c:pt>
                <c:pt idx="24">
                  <c:v>2.3380093520374068E-2</c:v>
                </c:pt>
                <c:pt idx="25">
                  <c:v>1.1184210526315796E-2</c:v>
                </c:pt>
                <c:pt idx="26">
                  <c:v>1.487710219922378E-2</c:v>
                </c:pt>
                <c:pt idx="27">
                  <c:v>4.5424621461487735E-2</c:v>
                </c:pt>
                <c:pt idx="28">
                  <c:v>5.5925432756325E-2</c:v>
                </c:pt>
                <c:pt idx="29">
                  <c:v>4.7244094488188892E-2</c:v>
                </c:pt>
                <c:pt idx="30">
                  <c:v>3.2608695652173836E-2</c:v>
                </c:pt>
                <c:pt idx="31">
                  <c:v>1.429459291485391E-2</c:v>
                </c:pt>
                <c:pt idx="32">
                  <c:v>2.9504080351538065E-2</c:v>
                </c:pt>
                <c:pt idx="33">
                  <c:v>4.0488431876606779E-2</c:v>
                </c:pt>
                <c:pt idx="34">
                  <c:v>4.3790849673202681E-2</c:v>
                </c:pt>
                <c:pt idx="35">
                  <c:v>4.7244094488188892E-2</c:v>
                </c:pt>
                <c:pt idx="36">
                  <c:v>3.6553524804177506E-2</c:v>
                </c:pt>
                <c:pt idx="37">
                  <c:v>4.0338321405334998E-2</c:v>
                </c:pt>
                <c:pt idx="38">
                  <c:v>2.8043339706819603E-2</c:v>
                </c:pt>
                <c:pt idx="39">
                  <c:v>1.8261964735516445E-2</c:v>
                </c:pt>
                <c:pt idx="40">
                  <c:v>1.0088272383354413E-2</c:v>
                </c:pt>
                <c:pt idx="41">
                  <c:v>9.3984962406015171E-3</c:v>
                </c:pt>
                <c:pt idx="42">
                  <c:v>3.0959752321981338E-2</c:v>
                </c:pt>
                <c:pt idx="43">
                  <c:v>3.4926470588235281E-2</c:v>
                </c:pt>
                <c:pt idx="44">
                  <c:v>3.2926829268292712E-2</c:v>
                </c:pt>
                <c:pt idx="45">
                  <c:v>2.8412600370599117E-2</c:v>
                </c:pt>
                <c:pt idx="46">
                  <c:v>3.1934877896055092E-2</c:v>
                </c:pt>
                <c:pt idx="47">
                  <c:v>2.130325814536338E-2</c:v>
                </c:pt>
                <c:pt idx="48">
                  <c:v>2.4559193954659886E-2</c:v>
                </c:pt>
                <c:pt idx="49">
                  <c:v>3.1894934333958735E-2</c:v>
                </c:pt>
                <c:pt idx="50">
                  <c:v>3.7197768133911957E-2</c:v>
                </c:pt>
                <c:pt idx="51">
                  <c:v>3.153988868274582E-2</c:v>
                </c:pt>
                <c:pt idx="52">
                  <c:v>-2.4968789013732895E-3</c:v>
                </c:pt>
                <c:pt idx="53">
                  <c:v>-1.7380509000620714E-2</c:v>
                </c:pt>
                <c:pt idx="54">
                  <c:v>-3.2432432432432434E-2</c:v>
                </c:pt>
                <c:pt idx="55">
                  <c:v>-2.1314387211367691E-2</c:v>
                </c:pt>
                <c:pt idx="56">
                  <c:v>-2.8335301062573759E-2</c:v>
                </c:pt>
                <c:pt idx="57">
                  <c:v>-3.7237237237237264E-2</c:v>
                </c:pt>
                <c:pt idx="58">
                  <c:v>-4.3689320388349495E-2</c:v>
                </c:pt>
                <c:pt idx="59">
                  <c:v>-4.5398773006134929E-2</c:v>
                </c:pt>
                <c:pt idx="60">
                  <c:v>-3.9336201598033194E-2</c:v>
                </c:pt>
                <c:pt idx="61">
                  <c:v>-4.7272727272727244E-2</c:v>
                </c:pt>
                <c:pt idx="62">
                  <c:v>-5.2002390914524854E-2</c:v>
                </c:pt>
                <c:pt idx="63">
                  <c:v>-5.2757793764988015E-2</c:v>
                </c:pt>
                <c:pt idx="64">
                  <c:v>-9.386733416770987E-3</c:v>
                </c:pt>
                <c:pt idx="65">
                  <c:v>1.516108654453574E-2</c:v>
                </c:pt>
                <c:pt idx="66">
                  <c:v>2.1104903786468121E-2</c:v>
                </c:pt>
                <c:pt idx="67">
                  <c:v>3.6297640653357499E-2</c:v>
                </c:pt>
                <c:pt idx="68">
                  <c:v>6.4398541919805652E-2</c:v>
                </c:pt>
                <c:pt idx="69">
                  <c:v>9.7317529631940181E-2</c:v>
                </c:pt>
                <c:pt idx="70">
                  <c:v>0.11484771573604058</c:v>
                </c:pt>
                <c:pt idx="71">
                  <c:v>0.12596401028277637</c:v>
                </c:pt>
                <c:pt idx="72">
                  <c:v>0.12603966730646188</c:v>
                </c:pt>
                <c:pt idx="73">
                  <c:v>0.1176844783715012</c:v>
                </c:pt>
                <c:pt idx="74">
                  <c:v>0.11601513240857497</c:v>
                </c:pt>
                <c:pt idx="75">
                  <c:v>0.14177215189873427</c:v>
                </c:pt>
                <c:pt idx="76">
                  <c:v>0.15729627289955772</c:v>
                </c:pt>
                <c:pt idx="77">
                  <c:v>0.14872433105164906</c:v>
                </c:pt>
                <c:pt idx="78">
                  <c:v>0.13556231003039509</c:v>
                </c:pt>
                <c:pt idx="79">
                  <c:v>0.10799766491535312</c:v>
                </c:pt>
                <c:pt idx="80">
                  <c:v>0.11015981735159808</c:v>
                </c:pt>
                <c:pt idx="81">
                  <c:v>0.1307561114269471</c:v>
                </c:pt>
                <c:pt idx="82">
                  <c:v>0.14456459874786565</c:v>
                </c:pt>
                <c:pt idx="83">
                  <c:v>0.14554794520547953</c:v>
                </c:pt>
                <c:pt idx="84">
                  <c:v>0.13011363636363638</c:v>
                </c:pt>
                <c:pt idx="85">
                  <c:v>0.12407512805919185</c:v>
                </c:pt>
                <c:pt idx="86">
                  <c:v>0.11807909604519784</c:v>
                </c:pt>
                <c:pt idx="87">
                  <c:v>0.11031042128603108</c:v>
                </c:pt>
                <c:pt idx="88">
                  <c:v>0.11299126637554591</c:v>
                </c:pt>
                <c:pt idx="89">
                  <c:v>0.12513542795232935</c:v>
                </c:pt>
                <c:pt idx="90">
                  <c:v>0.12901498929336186</c:v>
                </c:pt>
                <c:pt idx="91">
                  <c:v>0.13013698630136994</c:v>
                </c:pt>
                <c:pt idx="92">
                  <c:v>0.12030848329048838</c:v>
                </c:pt>
                <c:pt idx="93">
                  <c:v>0.10206133735545508</c:v>
                </c:pt>
                <c:pt idx="94">
                  <c:v>8.1054201889607214E-2</c:v>
                </c:pt>
                <c:pt idx="95">
                  <c:v>5.9790732436472371E-2</c:v>
                </c:pt>
                <c:pt idx="96">
                  <c:v>4.6254399195575724E-2</c:v>
                </c:pt>
                <c:pt idx="97">
                  <c:v>4.8101265822784844E-2</c:v>
                </c:pt>
                <c:pt idx="98">
                  <c:v>6.2152602324406336E-2</c:v>
                </c:pt>
                <c:pt idx="99">
                  <c:v>8.1877184223664523E-2</c:v>
                </c:pt>
                <c:pt idx="100">
                  <c:v>4.8553212358999565E-2</c:v>
                </c:pt>
                <c:pt idx="101">
                  <c:v>-3.0813673567645639E-2</c:v>
                </c:pt>
                <c:pt idx="102">
                  <c:v>-3.7932669511616668E-3</c:v>
                </c:pt>
                <c:pt idx="103">
                  <c:v>1.3986013986013734E-3</c:v>
                </c:pt>
                <c:pt idx="104">
                  <c:v>1.0096374483708148E-2</c:v>
                </c:pt>
                <c:pt idx="105">
                  <c:v>8.667883211678884E-3</c:v>
                </c:pt>
                <c:pt idx="106">
                  <c:v>-1.0579576816927339E-2</c:v>
                </c:pt>
                <c:pt idx="107">
                  <c:v>-2.6328161730136301E-2</c:v>
                </c:pt>
                <c:pt idx="108">
                  <c:v>-2.6910139356078777E-2</c:v>
                </c:pt>
                <c:pt idx="109">
                  <c:v>-2.1256038647343045E-2</c:v>
                </c:pt>
                <c:pt idx="110">
                  <c:v>-2.0456707897240745E-2</c:v>
                </c:pt>
                <c:pt idx="111">
                  <c:v>-3.9686202122750314E-2</c:v>
                </c:pt>
                <c:pt idx="112">
                  <c:v>-2.3386342376052416E-2</c:v>
                </c:pt>
                <c:pt idx="113">
                  <c:v>3.2290114257327307E-2</c:v>
                </c:pt>
                <c:pt idx="114">
                  <c:v>-8.5673488814850263E-3</c:v>
                </c:pt>
                <c:pt idx="115">
                  <c:v>-8.8454376163873416E-3</c:v>
                </c:pt>
                <c:pt idx="116">
                  <c:v>-9.0867787369375286E-4</c:v>
                </c:pt>
                <c:pt idx="117">
                  <c:v>3.1659882406152029E-3</c:v>
                </c:pt>
                <c:pt idx="118">
                  <c:v>2.1385402138540233E-2</c:v>
                </c:pt>
                <c:pt idx="119">
                  <c:v>2.8005794302269349E-2</c:v>
                </c:pt>
                <c:pt idx="120">
                  <c:v>2.6172839506172885E-2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8D-4AE2-ABA1-3B9C88A69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117624"/>
        <c:axId val="16831151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'Homelet Rental Index'!$C$8</c15:sqref>
                        </c15:formulaRef>
                      </c:ext>
                    </c:extLst>
                    <c:strCache>
                      <c:ptCount val="1"/>
                      <c:pt idx="0">
                        <c:v>UK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'Homelet Rental Index'!$B$27:$B$147</c15:sqref>
                        </c15:formulaRef>
                      </c:ext>
                    </c:extLst>
                    <c:numCache>
                      <c:formatCode>mmm\-yy</c:formatCode>
                      <c:ptCount val="121"/>
                      <c:pt idx="0">
                        <c:v>42370</c:v>
                      </c:pt>
                      <c:pt idx="1">
                        <c:v>42401</c:v>
                      </c:pt>
                      <c:pt idx="2">
                        <c:v>42430</c:v>
                      </c:pt>
                      <c:pt idx="3">
                        <c:v>42461</c:v>
                      </c:pt>
                      <c:pt idx="4">
                        <c:v>42491</c:v>
                      </c:pt>
                      <c:pt idx="5">
                        <c:v>42522</c:v>
                      </c:pt>
                      <c:pt idx="6">
                        <c:v>42552</c:v>
                      </c:pt>
                      <c:pt idx="7">
                        <c:v>42583</c:v>
                      </c:pt>
                      <c:pt idx="8">
                        <c:v>42614</c:v>
                      </c:pt>
                      <c:pt idx="9">
                        <c:v>42644</c:v>
                      </c:pt>
                      <c:pt idx="10">
                        <c:v>42675</c:v>
                      </c:pt>
                      <c:pt idx="11">
                        <c:v>42705</c:v>
                      </c:pt>
                      <c:pt idx="12">
                        <c:v>42736</c:v>
                      </c:pt>
                      <c:pt idx="13">
                        <c:v>42767</c:v>
                      </c:pt>
                      <c:pt idx="14">
                        <c:v>42795</c:v>
                      </c:pt>
                      <c:pt idx="15">
                        <c:v>42826</c:v>
                      </c:pt>
                      <c:pt idx="16">
                        <c:v>42856</c:v>
                      </c:pt>
                      <c:pt idx="17">
                        <c:v>42887</c:v>
                      </c:pt>
                      <c:pt idx="18">
                        <c:v>42917</c:v>
                      </c:pt>
                      <c:pt idx="19">
                        <c:v>42948</c:v>
                      </c:pt>
                      <c:pt idx="20">
                        <c:v>42979</c:v>
                      </c:pt>
                      <c:pt idx="21">
                        <c:v>43009</c:v>
                      </c:pt>
                      <c:pt idx="22">
                        <c:v>43040</c:v>
                      </c:pt>
                      <c:pt idx="23">
                        <c:v>43070</c:v>
                      </c:pt>
                      <c:pt idx="24">
                        <c:v>43101</c:v>
                      </c:pt>
                      <c:pt idx="25">
                        <c:v>43132</c:v>
                      </c:pt>
                      <c:pt idx="26">
                        <c:v>43160</c:v>
                      </c:pt>
                      <c:pt idx="27">
                        <c:v>43191</c:v>
                      </c:pt>
                      <c:pt idx="28">
                        <c:v>43221</c:v>
                      </c:pt>
                      <c:pt idx="29">
                        <c:v>43252</c:v>
                      </c:pt>
                      <c:pt idx="30">
                        <c:v>43282</c:v>
                      </c:pt>
                      <c:pt idx="31">
                        <c:v>43313</c:v>
                      </c:pt>
                      <c:pt idx="32">
                        <c:v>43344</c:v>
                      </c:pt>
                      <c:pt idx="33">
                        <c:v>43374</c:v>
                      </c:pt>
                      <c:pt idx="34">
                        <c:v>43405</c:v>
                      </c:pt>
                      <c:pt idx="35">
                        <c:v>43435</c:v>
                      </c:pt>
                      <c:pt idx="36">
                        <c:v>43466</c:v>
                      </c:pt>
                      <c:pt idx="37">
                        <c:v>43497</c:v>
                      </c:pt>
                      <c:pt idx="38">
                        <c:v>43525</c:v>
                      </c:pt>
                      <c:pt idx="39">
                        <c:v>43556</c:v>
                      </c:pt>
                      <c:pt idx="40">
                        <c:v>43586</c:v>
                      </c:pt>
                      <c:pt idx="41">
                        <c:v>43617</c:v>
                      </c:pt>
                      <c:pt idx="42">
                        <c:v>43647</c:v>
                      </c:pt>
                      <c:pt idx="43">
                        <c:v>43678</c:v>
                      </c:pt>
                      <c:pt idx="44">
                        <c:v>43709</c:v>
                      </c:pt>
                      <c:pt idx="45">
                        <c:v>43739</c:v>
                      </c:pt>
                      <c:pt idx="46">
                        <c:v>43770</c:v>
                      </c:pt>
                      <c:pt idx="47">
                        <c:v>43800</c:v>
                      </c:pt>
                      <c:pt idx="48">
                        <c:v>43831</c:v>
                      </c:pt>
                      <c:pt idx="49">
                        <c:v>43862</c:v>
                      </c:pt>
                      <c:pt idx="50">
                        <c:v>43891</c:v>
                      </c:pt>
                      <c:pt idx="51">
                        <c:v>43922</c:v>
                      </c:pt>
                      <c:pt idx="52">
                        <c:v>43952</c:v>
                      </c:pt>
                      <c:pt idx="53">
                        <c:v>43983</c:v>
                      </c:pt>
                      <c:pt idx="54">
                        <c:v>44013</c:v>
                      </c:pt>
                      <c:pt idx="55">
                        <c:v>44044</c:v>
                      </c:pt>
                      <c:pt idx="56">
                        <c:v>44075</c:v>
                      </c:pt>
                      <c:pt idx="57">
                        <c:v>44105</c:v>
                      </c:pt>
                      <c:pt idx="58">
                        <c:v>44136</c:v>
                      </c:pt>
                      <c:pt idx="59">
                        <c:v>44166</c:v>
                      </c:pt>
                      <c:pt idx="60">
                        <c:v>44197</c:v>
                      </c:pt>
                      <c:pt idx="61">
                        <c:v>44228</c:v>
                      </c:pt>
                      <c:pt idx="62">
                        <c:v>44256</c:v>
                      </c:pt>
                      <c:pt idx="63">
                        <c:v>44287</c:v>
                      </c:pt>
                      <c:pt idx="64">
                        <c:v>44317</c:v>
                      </c:pt>
                      <c:pt idx="65">
                        <c:v>44348</c:v>
                      </c:pt>
                      <c:pt idx="66">
                        <c:v>44378</c:v>
                      </c:pt>
                      <c:pt idx="67">
                        <c:v>44409</c:v>
                      </c:pt>
                      <c:pt idx="68">
                        <c:v>44440</c:v>
                      </c:pt>
                      <c:pt idx="69">
                        <c:v>44470</c:v>
                      </c:pt>
                      <c:pt idx="70">
                        <c:v>44501</c:v>
                      </c:pt>
                      <c:pt idx="71">
                        <c:v>44531</c:v>
                      </c:pt>
                      <c:pt idx="72">
                        <c:v>44562</c:v>
                      </c:pt>
                      <c:pt idx="73">
                        <c:v>44593</c:v>
                      </c:pt>
                      <c:pt idx="74">
                        <c:v>44621</c:v>
                      </c:pt>
                      <c:pt idx="75">
                        <c:v>44652</c:v>
                      </c:pt>
                      <c:pt idx="76">
                        <c:v>44682</c:v>
                      </c:pt>
                      <c:pt idx="77">
                        <c:v>44713</c:v>
                      </c:pt>
                      <c:pt idx="78">
                        <c:v>44743</c:v>
                      </c:pt>
                      <c:pt idx="79">
                        <c:v>44774</c:v>
                      </c:pt>
                      <c:pt idx="80">
                        <c:v>44805</c:v>
                      </c:pt>
                      <c:pt idx="81">
                        <c:v>44835</c:v>
                      </c:pt>
                      <c:pt idx="82">
                        <c:v>44866</c:v>
                      </c:pt>
                      <c:pt idx="83">
                        <c:v>44896</c:v>
                      </c:pt>
                      <c:pt idx="84">
                        <c:v>44927</c:v>
                      </c:pt>
                      <c:pt idx="85">
                        <c:v>44958</c:v>
                      </c:pt>
                      <c:pt idx="86">
                        <c:v>44986</c:v>
                      </c:pt>
                      <c:pt idx="87">
                        <c:v>45017</c:v>
                      </c:pt>
                      <c:pt idx="88">
                        <c:v>45047</c:v>
                      </c:pt>
                      <c:pt idx="89">
                        <c:v>45078</c:v>
                      </c:pt>
                      <c:pt idx="90">
                        <c:v>45108</c:v>
                      </c:pt>
                      <c:pt idx="91">
                        <c:v>45139</c:v>
                      </c:pt>
                      <c:pt idx="92">
                        <c:v>45170</c:v>
                      </c:pt>
                      <c:pt idx="93">
                        <c:v>45200</c:v>
                      </c:pt>
                      <c:pt idx="94">
                        <c:v>45231</c:v>
                      </c:pt>
                      <c:pt idx="95">
                        <c:v>45261</c:v>
                      </c:pt>
                      <c:pt idx="96">
                        <c:v>45292</c:v>
                      </c:pt>
                      <c:pt idx="97">
                        <c:v>45323</c:v>
                      </c:pt>
                      <c:pt idx="98">
                        <c:v>45352</c:v>
                      </c:pt>
                      <c:pt idx="99">
                        <c:v>45383</c:v>
                      </c:pt>
                      <c:pt idx="100">
                        <c:v>45413</c:v>
                      </c:pt>
                      <c:pt idx="101">
                        <c:v>45444</c:v>
                      </c:pt>
                      <c:pt idx="102">
                        <c:v>45474</c:v>
                      </c:pt>
                      <c:pt idx="103">
                        <c:v>45505</c:v>
                      </c:pt>
                      <c:pt idx="104">
                        <c:v>45536</c:v>
                      </c:pt>
                      <c:pt idx="105">
                        <c:v>45566</c:v>
                      </c:pt>
                      <c:pt idx="106">
                        <c:v>45597</c:v>
                      </c:pt>
                      <c:pt idx="107">
                        <c:v>45627</c:v>
                      </c:pt>
                      <c:pt idx="108">
                        <c:v>45658</c:v>
                      </c:pt>
                      <c:pt idx="109">
                        <c:v>45689</c:v>
                      </c:pt>
                      <c:pt idx="110">
                        <c:v>45717</c:v>
                      </c:pt>
                      <c:pt idx="111">
                        <c:v>45748</c:v>
                      </c:pt>
                      <c:pt idx="112">
                        <c:v>45778</c:v>
                      </c:pt>
                      <c:pt idx="113">
                        <c:v>45809</c:v>
                      </c:pt>
                      <c:pt idx="114">
                        <c:v>45839</c:v>
                      </c:pt>
                      <c:pt idx="115">
                        <c:v>45870</c:v>
                      </c:pt>
                      <c:pt idx="116">
                        <c:v>45901</c:v>
                      </c:pt>
                      <c:pt idx="117">
                        <c:v>45931</c:v>
                      </c:pt>
                      <c:pt idx="118">
                        <c:v>45962</c:v>
                      </c:pt>
                      <c:pt idx="119">
                        <c:v>45992</c:v>
                      </c:pt>
                      <c:pt idx="120">
                        <c:v>46023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'Homelet Rental Index'!$C$27:$C$147</c15:sqref>
                        </c15:formulaRef>
                      </c:ext>
                    </c:extLst>
                    <c:numCache>
                      <c:formatCode>_-[$£-809]* #,##0_-;\-[$£-809]* #,##0_-;_-[$£-809]* "-"_-;_-@_-</c:formatCode>
                      <c:ptCount val="121"/>
                      <c:pt idx="0">
                        <c:v>881.88819999999998</c:v>
                      </c:pt>
                      <c:pt idx="1">
                        <c:v>887.71230000000003</c:v>
                      </c:pt>
                      <c:pt idx="2">
                        <c:v>894.42359999999996</c:v>
                      </c:pt>
                      <c:pt idx="3">
                        <c:v>900.15779999999995</c:v>
                      </c:pt>
                      <c:pt idx="4">
                        <c:v>903.971</c:v>
                      </c:pt>
                      <c:pt idx="5">
                        <c:v>909.82920000000001</c:v>
                      </c:pt>
                      <c:pt idx="6">
                        <c:v>915.0797</c:v>
                      </c:pt>
                      <c:pt idx="7">
                        <c:v>916.52729999999997</c:v>
                      </c:pt>
                      <c:pt idx="8">
                        <c:v>908</c:v>
                      </c:pt>
                      <c:pt idx="9">
                        <c:v>900.92190000000005</c:v>
                      </c:pt>
                      <c:pt idx="10">
                        <c:v>897.97199999999998</c:v>
                      </c:pt>
                      <c:pt idx="11">
                        <c:v>892.16830000000004</c:v>
                      </c:pt>
                      <c:pt idx="12">
                        <c:v>888.22559999999999</c:v>
                      </c:pt>
                      <c:pt idx="13">
                        <c:v>894.88260000000002</c:v>
                      </c:pt>
                      <c:pt idx="14">
                        <c:v>904.46140000000003</c:v>
                      </c:pt>
                      <c:pt idx="15">
                        <c:v>903.90290000000005</c:v>
                      </c:pt>
                      <c:pt idx="16">
                        <c:v>901.04160000000002</c:v>
                      </c:pt>
                      <c:pt idx="17">
                        <c:v>908</c:v>
                      </c:pt>
                      <c:pt idx="18">
                        <c:v>925</c:v>
                      </c:pt>
                      <c:pt idx="19">
                        <c:v>939</c:v>
                      </c:pt>
                      <c:pt idx="20">
                        <c:v>927</c:v>
                      </c:pt>
                      <c:pt idx="21">
                        <c:v>909</c:v>
                      </c:pt>
                      <c:pt idx="22">
                        <c:v>904</c:v>
                      </c:pt>
                      <c:pt idx="23">
                        <c:v>907</c:v>
                      </c:pt>
                      <c:pt idx="24">
                        <c:v>909</c:v>
                      </c:pt>
                      <c:pt idx="25">
                        <c:v>906</c:v>
                      </c:pt>
                      <c:pt idx="26">
                        <c:v>912</c:v>
                      </c:pt>
                      <c:pt idx="27">
                        <c:v>918</c:v>
                      </c:pt>
                      <c:pt idx="28">
                        <c:v>919</c:v>
                      </c:pt>
                      <c:pt idx="29">
                        <c:v>924</c:v>
                      </c:pt>
                      <c:pt idx="30">
                        <c:v>937</c:v>
                      </c:pt>
                      <c:pt idx="31">
                        <c:v>947</c:v>
                      </c:pt>
                      <c:pt idx="32">
                        <c:v>943</c:v>
                      </c:pt>
                      <c:pt idx="33">
                        <c:v>928</c:v>
                      </c:pt>
                      <c:pt idx="34">
                        <c:v>918</c:v>
                      </c:pt>
                      <c:pt idx="35">
                        <c:v>921</c:v>
                      </c:pt>
                      <c:pt idx="36">
                        <c:v>932</c:v>
                      </c:pt>
                      <c:pt idx="37">
                        <c:v>940</c:v>
                      </c:pt>
                      <c:pt idx="38">
                        <c:v>942</c:v>
                      </c:pt>
                      <c:pt idx="39">
                        <c:v>936</c:v>
                      </c:pt>
                      <c:pt idx="40">
                        <c:v>934</c:v>
                      </c:pt>
                      <c:pt idx="41">
                        <c:v>941</c:v>
                      </c:pt>
                      <c:pt idx="42">
                        <c:v>959</c:v>
                      </c:pt>
                      <c:pt idx="43">
                        <c:v>970</c:v>
                      </c:pt>
                      <c:pt idx="44">
                        <c:v>967</c:v>
                      </c:pt>
                      <c:pt idx="45">
                        <c:v>953</c:v>
                      </c:pt>
                      <c:pt idx="46">
                        <c:v>947</c:v>
                      </c:pt>
                      <c:pt idx="47">
                        <c:v>953</c:v>
                      </c:pt>
                      <c:pt idx="48">
                        <c:v>953</c:v>
                      </c:pt>
                      <c:pt idx="49">
                        <c:v>955</c:v>
                      </c:pt>
                      <c:pt idx="50">
                        <c:v>959</c:v>
                      </c:pt>
                      <c:pt idx="51">
                        <c:v>968</c:v>
                      </c:pt>
                      <c:pt idx="52">
                        <c:v>959</c:v>
                      </c:pt>
                      <c:pt idx="53">
                        <c:v>951</c:v>
                      </c:pt>
                      <c:pt idx="54">
                        <c:v>965</c:v>
                      </c:pt>
                      <c:pt idx="55">
                        <c:v>985</c:v>
                      </c:pt>
                      <c:pt idx="56">
                        <c:v>987</c:v>
                      </c:pt>
                      <c:pt idx="57">
                        <c:v>974</c:v>
                      </c:pt>
                      <c:pt idx="58">
                        <c:v>974</c:v>
                      </c:pt>
                      <c:pt idx="59">
                        <c:v>979</c:v>
                      </c:pt>
                      <c:pt idx="60">
                        <c:v>981</c:v>
                      </c:pt>
                      <c:pt idx="61">
                        <c:v>984</c:v>
                      </c:pt>
                      <c:pt idx="62">
                        <c:v>992</c:v>
                      </c:pt>
                      <c:pt idx="63">
                        <c:v>996</c:v>
                      </c:pt>
                      <c:pt idx="64">
                        <c:v>997</c:v>
                      </c:pt>
                      <c:pt idx="65">
                        <c:v>1007</c:v>
                      </c:pt>
                      <c:pt idx="66">
                        <c:v>1029</c:v>
                      </c:pt>
                      <c:pt idx="67">
                        <c:v>1053</c:v>
                      </c:pt>
                      <c:pt idx="68">
                        <c:v>1061</c:v>
                      </c:pt>
                      <c:pt idx="69">
                        <c:v>1059</c:v>
                      </c:pt>
                      <c:pt idx="70">
                        <c:v>1058</c:v>
                      </c:pt>
                      <c:pt idx="71">
                        <c:v>1060</c:v>
                      </c:pt>
                      <c:pt idx="72">
                        <c:v>1064</c:v>
                      </c:pt>
                      <c:pt idx="73">
                        <c:v>1069</c:v>
                      </c:pt>
                      <c:pt idx="74">
                        <c:v>1078</c:v>
                      </c:pt>
                      <c:pt idx="75">
                        <c:v>1091</c:v>
                      </c:pt>
                      <c:pt idx="76">
                        <c:v>1103</c:v>
                      </c:pt>
                      <c:pt idx="77">
                        <c:v>1113</c:v>
                      </c:pt>
                      <c:pt idx="78">
                        <c:v>1127</c:v>
                      </c:pt>
                      <c:pt idx="79">
                        <c:v>1143</c:v>
                      </c:pt>
                      <c:pt idx="80">
                        <c:v>1159</c:v>
                      </c:pt>
                      <c:pt idx="81">
                        <c:v>1171</c:v>
                      </c:pt>
                      <c:pt idx="82">
                        <c:v>1175</c:v>
                      </c:pt>
                      <c:pt idx="83">
                        <c:v>1174</c:v>
                      </c:pt>
                      <c:pt idx="84">
                        <c:v>1172</c:v>
                      </c:pt>
                      <c:pt idx="85">
                        <c:v>1175</c:v>
                      </c:pt>
                      <c:pt idx="86">
                        <c:v>1184</c:v>
                      </c:pt>
                      <c:pt idx="87">
                        <c:v>1199</c:v>
                      </c:pt>
                      <c:pt idx="88">
                        <c:v>1213</c:v>
                      </c:pt>
                      <c:pt idx="89">
                        <c:v>1229</c:v>
                      </c:pt>
                      <c:pt idx="90">
                        <c:v>1243</c:v>
                      </c:pt>
                      <c:pt idx="91">
                        <c:v>1261</c:v>
                      </c:pt>
                      <c:pt idx="92">
                        <c:v>1276</c:v>
                      </c:pt>
                      <c:pt idx="93">
                        <c:v>1283</c:v>
                      </c:pt>
                      <c:pt idx="94">
                        <c:v>1279</c:v>
                      </c:pt>
                      <c:pt idx="95">
                        <c:v>1268</c:v>
                      </c:pt>
                      <c:pt idx="96">
                        <c:v>1260</c:v>
                      </c:pt>
                      <c:pt idx="97" formatCode="&quot;£&quot;#,##0">
                        <c:v>1262</c:v>
                      </c:pt>
                      <c:pt idx="98" formatCode="&quot;£&quot;#,##0">
                        <c:v>1273</c:v>
                      </c:pt>
                      <c:pt idx="99" formatCode="&quot;£&quot;#,##0">
                        <c:v>1294</c:v>
                      </c:pt>
                      <c:pt idx="100" formatCode="&quot;£&quot;#,##0">
                        <c:v>1297</c:v>
                      </c:pt>
                      <c:pt idx="101" formatCode="&quot;£&quot;#,##0">
                        <c:v>1299</c:v>
                      </c:pt>
                      <c:pt idx="102" formatCode="&quot;£&quot;#,##0">
                        <c:v>1308</c:v>
                      </c:pt>
                      <c:pt idx="103" formatCode="&quot;£&quot;#,##0">
                        <c:v>1325</c:v>
                      </c:pt>
                      <c:pt idx="104" formatCode="&quot;£&quot;#,##0">
                        <c:v>1331</c:v>
                      </c:pt>
                      <c:pt idx="105" formatCode="&quot;£&quot;#,##0">
                        <c:v>1327</c:v>
                      </c:pt>
                      <c:pt idx="106" formatCode="&quot;£&quot;#,##0">
                        <c:v>1307</c:v>
                      </c:pt>
                      <c:pt idx="107" formatCode="&quot;£&quot;#,##0">
                        <c:v>1284</c:v>
                      </c:pt>
                      <c:pt idx="108" formatCode="&quot;£&quot;#,##0">
                        <c:v>1271</c:v>
                      </c:pt>
                      <c:pt idx="109" formatCode="&quot;£&quot;#,##0">
                        <c:v>1275</c:v>
                      </c:pt>
                      <c:pt idx="110" formatCode="&quot;£&quot;#,##0">
                        <c:v>1288</c:v>
                      </c:pt>
                      <c:pt idx="111" formatCode="&quot;£&quot;#,##0">
                        <c:v>1298</c:v>
                      </c:pt>
                      <c:pt idx="112" formatCode="&quot;£&quot;#,##0">
                        <c:v>1307</c:v>
                      </c:pt>
                      <c:pt idx="113" formatCode="&quot;£&quot;#,##0">
                        <c:v>1308</c:v>
                      </c:pt>
                      <c:pt idx="114" formatCode="&quot;£&quot;#,##0">
                        <c:v>1313</c:v>
                      </c:pt>
                      <c:pt idx="115" formatCode="&quot;£&quot;#,##0">
                        <c:v>1328</c:v>
                      </c:pt>
                      <c:pt idx="116" formatCode="&quot;£&quot;#,##0">
                        <c:v>1343</c:v>
                      </c:pt>
                      <c:pt idx="117" formatCode="&quot;£&quot;#,##0">
                        <c:v>1345</c:v>
                      </c:pt>
                      <c:pt idx="118" formatCode="&quot;£&quot;#,##0">
                        <c:v>1337</c:v>
                      </c:pt>
                      <c:pt idx="119" formatCode="&quot;£&quot;#,##0">
                        <c:v>1317</c:v>
                      </c:pt>
                      <c:pt idx="120" formatCode="&quot;£&quot;#,##0">
                        <c:v>1302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7F2-4439-907B-2DBC758769A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'Homelet Rental Index'!$D$8</c15:sqref>
                        </c15:formulaRef>
                      </c:ext>
                    </c:extLst>
                    <c:strCache>
                      <c:ptCount val="1"/>
                      <c:pt idx="0">
                        <c:v>Greater London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'Homelet Rental Index'!$B$27:$B$147</c15:sqref>
                        </c15:formulaRef>
                      </c:ext>
                    </c:extLst>
                    <c:numCache>
                      <c:formatCode>mmm\-yy</c:formatCode>
                      <c:ptCount val="121"/>
                      <c:pt idx="0">
                        <c:v>42370</c:v>
                      </c:pt>
                      <c:pt idx="1">
                        <c:v>42401</c:v>
                      </c:pt>
                      <c:pt idx="2">
                        <c:v>42430</c:v>
                      </c:pt>
                      <c:pt idx="3">
                        <c:v>42461</c:v>
                      </c:pt>
                      <c:pt idx="4">
                        <c:v>42491</c:v>
                      </c:pt>
                      <c:pt idx="5">
                        <c:v>42522</c:v>
                      </c:pt>
                      <c:pt idx="6">
                        <c:v>42552</c:v>
                      </c:pt>
                      <c:pt idx="7">
                        <c:v>42583</c:v>
                      </c:pt>
                      <c:pt idx="8">
                        <c:v>42614</c:v>
                      </c:pt>
                      <c:pt idx="9">
                        <c:v>42644</c:v>
                      </c:pt>
                      <c:pt idx="10">
                        <c:v>42675</c:v>
                      </c:pt>
                      <c:pt idx="11">
                        <c:v>42705</c:v>
                      </c:pt>
                      <c:pt idx="12">
                        <c:v>42736</c:v>
                      </c:pt>
                      <c:pt idx="13">
                        <c:v>42767</c:v>
                      </c:pt>
                      <c:pt idx="14">
                        <c:v>42795</c:v>
                      </c:pt>
                      <c:pt idx="15">
                        <c:v>42826</c:v>
                      </c:pt>
                      <c:pt idx="16">
                        <c:v>42856</c:v>
                      </c:pt>
                      <c:pt idx="17">
                        <c:v>42887</c:v>
                      </c:pt>
                      <c:pt idx="18">
                        <c:v>42917</c:v>
                      </c:pt>
                      <c:pt idx="19">
                        <c:v>42948</c:v>
                      </c:pt>
                      <c:pt idx="20">
                        <c:v>42979</c:v>
                      </c:pt>
                      <c:pt idx="21">
                        <c:v>43009</c:v>
                      </c:pt>
                      <c:pt idx="22">
                        <c:v>43040</c:v>
                      </c:pt>
                      <c:pt idx="23">
                        <c:v>43070</c:v>
                      </c:pt>
                      <c:pt idx="24">
                        <c:v>43101</c:v>
                      </c:pt>
                      <c:pt idx="25">
                        <c:v>43132</c:v>
                      </c:pt>
                      <c:pt idx="26">
                        <c:v>43160</c:v>
                      </c:pt>
                      <c:pt idx="27">
                        <c:v>43191</c:v>
                      </c:pt>
                      <c:pt idx="28">
                        <c:v>43221</c:v>
                      </c:pt>
                      <c:pt idx="29">
                        <c:v>43252</c:v>
                      </c:pt>
                      <c:pt idx="30">
                        <c:v>43282</c:v>
                      </c:pt>
                      <c:pt idx="31">
                        <c:v>43313</c:v>
                      </c:pt>
                      <c:pt idx="32">
                        <c:v>43344</c:v>
                      </c:pt>
                      <c:pt idx="33">
                        <c:v>43374</c:v>
                      </c:pt>
                      <c:pt idx="34">
                        <c:v>43405</c:v>
                      </c:pt>
                      <c:pt idx="35">
                        <c:v>43435</c:v>
                      </c:pt>
                      <c:pt idx="36">
                        <c:v>43466</c:v>
                      </c:pt>
                      <c:pt idx="37">
                        <c:v>43497</c:v>
                      </c:pt>
                      <c:pt idx="38">
                        <c:v>43525</c:v>
                      </c:pt>
                      <c:pt idx="39">
                        <c:v>43556</c:v>
                      </c:pt>
                      <c:pt idx="40">
                        <c:v>43586</c:v>
                      </c:pt>
                      <c:pt idx="41">
                        <c:v>43617</c:v>
                      </c:pt>
                      <c:pt idx="42">
                        <c:v>43647</c:v>
                      </c:pt>
                      <c:pt idx="43">
                        <c:v>43678</c:v>
                      </c:pt>
                      <c:pt idx="44">
                        <c:v>43709</c:v>
                      </c:pt>
                      <c:pt idx="45">
                        <c:v>43739</c:v>
                      </c:pt>
                      <c:pt idx="46">
                        <c:v>43770</c:v>
                      </c:pt>
                      <c:pt idx="47">
                        <c:v>43800</c:v>
                      </c:pt>
                      <c:pt idx="48">
                        <c:v>43831</c:v>
                      </c:pt>
                      <c:pt idx="49">
                        <c:v>43862</c:v>
                      </c:pt>
                      <c:pt idx="50">
                        <c:v>43891</c:v>
                      </c:pt>
                      <c:pt idx="51">
                        <c:v>43922</c:v>
                      </c:pt>
                      <c:pt idx="52">
                        <c:v>43952</c:v>
                      </c:pt>
                      <c:pt idx="53">
                        <c:v>43983</c:v>
                      </c:pt>
                      <c:pt idx="54">
                        <c:v>44013</c:v>
                      </c:pt>
                      <c:pt idx="55">
                        <c:v>44044</c:v>
                      </c:pt>
                      <c:pt idx="56">
                        <c:v>44075</c:v>
                      </c:pt>
                      <c:pt idx="57">
                        <c:v>44105</c:v>
                      </c:pt>
                      <c:pt idx="58">
                        <c:v>44136</c:v>
                      </c:pt>
                      <c:pt idx="59">
                        <c:v>44166</c:v>
                      </c:pt>
                      <c:pt idx="60">
                        <c:v>44197</c:v>
                      </c:pt>
                      <c:pt idx="61">
                        <c:v>44228</c:v>
                      </c:pt>
                      <c:pt idx="62">
                        <c:v>44256</c:v>
                      </c:pt>
                      <c:pt idx="63">
                        <c:v>44287</c:v>
                      </c:pt>
                      <c:pt idx="64">
                        <c:v>44317</c:v>
                      </c:pt>
                      <c:pt idx="65">
                        <c:v>44348</c:v>
                      </c:pt>
                      <c:pt idx="66">
                        <c:v>44378</c:v>
                      </c:pt>
                      <c:pt idx="67">
                        <c:v>44409</c:v>
                      </c:pt>
                      <c:pt idx="68">
                        <c:v>44440</c:v>
                      </c:pt>
                      <c:pt idx="69">
                        <c:v>44470</c:v>
                      </c:pt>
                      <c:pt idx="70">
                        <c:v>44501</c:v>
                      </c:pt>
                      <c:pt idx="71">
                        <c:v>44531</c:v>
                      </c:pt>
                      <c:pt idx="72">
                        <c:v>44562</c:v>
                      </c:pt>
                      <c:pt idx="73">
                        <c:v>44593</c:v>
                      </c:pt>
                      <c:pt idx="74">
                        <c:v>44621</c:v>
                      </c:pt>
                      <c:pt idx="75">
                        <c:v>44652</c:v>
                      </c:pt>
                      <c:pt idx="76">
                        <c:v>44682</c:v>
                      </c:pt>
                      <c:pt idx="77">
                        <c:v>44713</c:v>
                      </c:pt>
                      <c:pt idx="78">
                        <c:v>44743</c:v>
                      </c:pt>
                      <c:pt idx="79">
                        <c:v>44774</c:v>
                      </c:pt>
                      <c:pt idx="80">
                        <c:v>44805</c:v>
                      </c:pt>
                      <c:pt idx="81">
                        <c:v>44835</c:v>
                      </c:pt>
                      <c:pt idx="82">
                        <c:v>44866</c:v>
                      </c:pt>
                      <c:pt idx="83">
                        <c:v>44896</c:v>
                      </c:pt>
                      <c:pt idx="84">
                        <c:v>44927</c:v>
                      </c:pt>
                      <c:pt idx="85">
                        <c:v>44958</c:v>
                      </c:pt>
                      <c:pt idx="86">
                        <c:v>44986</c:v>
                      </c:pt>
                      <c:pt idx="87">
                        <c:v>45017</c:v>
                      </c:pt>
                      <c:pt idx="88">
                        <c:v>45047</c:v>
                      </c:pt>
                      <c:pt idx="89">
                        <c:v>45078</c:v>
                      </c:pt>
                      <c:pt idx="90">
                        <c:v>45108</c:v>
                      </c:pt>
                      <c:pt idx="91">
                        <c:v>45139</c:v>
                      </c:pt>
                      <c:pt idx="92">
                        <c:v>45170</c:v>
                      </c:pt>
                      <c:pt idx="93">
                        <c:v>45200</c:v>
                      </c:pt>
                      <c:pt idx="94">
                        <c:v>45231</c:v>
                      </c:pt>
                      <c:pt idx="95">
                        <c:v>45261</c:v>
                      </c:pt>
                      <c:pt idx="96">
                        <c:v>45292</c:v>
                      </c:pt>
                      <c:pt idx="97">
                        <c:v>45323</c:v>
                      </c:pt>
                      <c:pt idx="98">
                        <c:v>45352</c:v>
                      </c:pt>
                      <c:pt idx="99">
                        <c:v>45383</c:v>
                      </c:pt>
                      <c:pt idx="100">
                        <c:v>45413</c:v>
                      </c:pt>
                      <c:pt idx="101">
                        <c:v>45444</c:v>
                      </c:pt>
                      <c:pt idx="102">
                        <c:v>45474</c:v>
                      </c:pt>
                      <c:pt idx="103">
                        <c:v>45505</c:v>
                      </c:pt>
                      <c:pt idx="104">
                        <c:v>45536</c:v>
                      </c:pt>
                      <c:pt idx="105">
                        <c:v>45566</c:v>
                      </c:pt>
                      <c:pt idx="106">
                        <c:v>45597</c:v>
                      </c:pt>
                      <c:pt idx="107">
                        <c:v>45627</c:v>
                      </c:pt>
                      <c:pt idx="108">
                        <c:v>45658</c:v>
                      </c:pt>
                      <c:pt idx="109">
                        <c:v>45689</c:v>
                      </c:pt>
                      <c:pt idx="110">
                        <c:v>45717</c:v>
                      </c:pt>
                      <c:pt idx="111">
                        <c:v>45748</c:v>
                      </c:pt>
                      <c:pt idx="112">
                        <c:v>45778</c:v>
                      </c:pt>
                      <c:pt idx="113">
                        <c:v>45809</c:v>
                      </c:pt>
                      <c:pt idx="114">
                        <c:v>45839</c:v>
                      </c:pt>
                      <c:pt idx="115">
                        <c:v>45870</c:v>
                      </c:pt>
                      <c:pt idx="116">
                        <c:v>45901</c:v>
                      </c:pt>
                      <c:pt idx="117">
                        <c:v>45931</c:v>
                      </c:pt>
                      <c:pt idx="118">
                        <c:v>45962</c:v>
                      </c:pt>
                      <c:pt idx="119">
                        <c:v>45992</c:v>
                      </c:pt>
                      <c:pt idx="12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'Homelet Rental Index'!$D$27:$D$147</c15:sqref>
                        </c15:formulaRef>
                      </c:ext>
                    </c:extLst>
                    <c:numCache>
                      <c:formatCode>_-[$£-809]* #,##0_-;\-[$£-809]* #,##0_-;_-[$£-809]* "-"_-;_-@_-</c:formatCode>
                      <c:ptCount val="121"/>
                      <c:pt idx="0">
                        <c:v>1489</c:v>
                      </c:pt>
                      <c:pt idx="1">
                        <c:v>1515</c:v>
                      </c:pt>
                      <c:pt idx="2">
                        <c:v>1530</c:v>
                      </c:pt>
                      <c:pt idx="3">
                        <c:v>1539</c:v>
                      </c:pt>
                      <c:pt idx="4">
                        <c:v>1549</c:v>
                      </c:pt>
                      <c:pt idx="5">
                        <c:v>1564</c:v>
                      </c:pt>
                      <c:pt idx="6">
                        <c:v>1573</c:v>
                      </c:pt>
                      <c:pt idx="7">
                        <c:v>1569</c:v>
                      </c:pt>
                      <c:pt idx="8">
                        <c:v>1563</c:v>
                      </c:pt>
                      <c:pt idx="9">
                        <c:v>1547</c:v>
                      </c:pt>
                      <c:pt idx="10">
                        <c:v>1533</c:v>
                      </c:pt>
                      <c:pt idx="11">
                        <c:v>1509</c:v>
                      </c:pt>
                      <c:pt idx="12">
                        <c:v>1497</c:v>
                      </c:pt>
                      <c:pt idx="13">
                        <c:v>1520</c:v>
                      </c:pt>
                      <c:pt idx="14">
                        <c:v>1546</c:v>
                      </c:pt>
                      <c:pt idx="15">
                        <c:v>1519</c:v>
                      </c:pt>
                      <c:pt idx="16">
                        <c:v>1502</c:v>
                      </c:pt>
                      <c:pt idx="17">
                        <c:v>1524</c:v>
                      </c:pt>
                      <c:pt idx="18">
                        <c:v>1564</c:v>
                      </c:pt>
                      <c:pt idx="19">
                        <c:v>1609</c:v>
                      </c:pt>
                      <c:pt idx="20">
                        <c:v>1593</c:v>
                      </c:pt>
                      <c:pt idx="21">
                        <c:v>1556</c:v>
                      </c:pt>
                      <c:pt idx="22">
                        <c:v>1530</c:v>
                      </c:pt>
                      <c:pt idx="23">
                        <c:v>1524</c:v>
                      </c:pt>
                      <c:pt idx="24">
                        <c:v>1532</c:v>
                      </c:pt>
                      <c:pt idx="25">
                        <c:v>1537</c:v>
                      </c:pt>
                      <c:pt idx="26">
                        <c:v>1569</c:v>
                      </c:pt>
                      <c:pt idx="27">
                        <c:v>1588</c:v>
                      </c:pt>
                      <c:pt idx="28">
                        <c:v>1586</c:v>
                      </c:pt>
                      <c:pt idx="29">
                        <c:v>1596</c:v>
                      </c:pt>
                      <c:pt idx="30">
                        <c:v>1615</c:v>
                      </c:pt>
                      <c:pt idx="31">
                        <c:v>1632</c:v>
                      </c:pt>
                      <c:pt idx="32">
                        <c:v>1640</c:v>
                      </c:pt>
                      <c:pt idx="33">
                        <c:v>1619</c:v>
                      </c:pt>
                      <c:pt idx="34">
                        <c:v>1597</c:v>
                      </c:pt>
                      <c:pt idx="35">
                        <c:v>1596</c:v>
                      </c:pt>
                      <c:pt idx="36">
                        <c:v>1588</c:v>
                      </c:pt>
                      <c:pt idx="37">
                        <c:v>1599</c:v>
                      </c:pt>
                      <c:pt idx="38">
                        <c:v>1613</c:v>
                      </c:pt>
                      <c:pt idx="39">
                        <c:v>1617</c:v>
                      </c:pt>
                      <c:pt idx="40">
                        <c:v>1602</c:v>
                      </c:pt>
                      <c:pt idx="41">
                        <c:v>1611</c:v>
                      </c:pt>
                      <c:pt idx="42">
                        <c:v>1665</c:v>
                      </c:pt>
                      <c:pt idx="43">
                        <c:v>1689</c:v>
                      </c:pt>
                      <c:pt idx="44">
                        <c:v>1694</c:v>
                      </c:pt>
                      <c:pt idx="45">
                        <c:v>1665</c:v>
                      </c:pt>
                      <c:pt idx="46">
                        <c:v>1648</c:v>
                      </c:pt>
                      <c:pt idx="47">
                        <c:v>1630</c:v>
                      </c:pt>
                      <c:pt idx="48">
                        <c:v>1627</c:v>
                      </c:pt>
                      <c:pt idx="49">
                        <c:v>1650</c:v>
                      </c:pt>
                      <c:pt idx="50">
                        <c:v>1673</c:v>
                      </c:pt>
                      <c:pt idx="51">
                        <c:v>1668</c:v>
                      </c:pt>
                      <c:pt idx="52">
                        <c:v>1598</c:v>
                      </c:pt>
                      <c:pt idx="53">
                        <c:v>1583</c:v>
                      </c:pt>
                      <c:pt idx="54">
                        <c:v>1611</c:v>
                      </c:pt>
                      <c:pt idx="55">
                        <c:v>1653</c:v>
                      </c:pt>
                      <c:pt idx="56">
                        <c:v>1646</c:v>
                      </c:pt>
                      <c:pt idx="57">
                        <c:v>1603</c:v>
                      </c:pt>
                      <c:pt idx="58">
                        <c:v>1576</c:v>
                      </c:pt>
                      <c:pt idx="59">
                        <c:v>1556</c:v>
                      </c:pt>
                      <c:pt idx="60">
                        <c:v>1563</c:v>
                      </c:pt>
                      <c:pt idx="61">
                        <c:v>1572</c:v>
                      </c:pt>
                      <c:pt idx="62">
                        <c:v>1586</c:v>
                      </c:pt>
                      <c:pt idx="63">
                        <c:v>1580</c:v>
                      </c:pt>
                      <c:pt idx="64">
                        <c:v>1583</c:v>
                      </c:pt>
                      <c:pt idx="65">
                        <c:v>1607</c:v>
                      </c:pt>
                      <c:pt idx="66">
                        <c:v>1645</c:v>
                      </c:pt>
                      <c:pt idx="67">
                        <c:v>1713</c:v>
                      </c:pt>
                      <c:pt idx="68">
                        <c:v>1752</c:v>
                      </c:pt>
                      <c:pt idx="69">
                        <c:v>1759</c:v>
                      </c:pt>
                      <c:pt idx="70">
                        <c:v>1757</c:v>
                      </c:pt>
                      <c:pt idx="71">
                        <c:v>1752</c:v>
                      </c:pt>
                      <c:pt idx="72">
                        <c:v>1760</c:v>
                      </c:pt>
                      <c:pt idx="73">
                        <c:v>1757</c:v>
                      </c:pt>
                      <c:pt idx="74">
                        <c:v>1770</c:v>
                      </c:pt>
                      <c:pt idx="75">
                        <c:v>1804</c:v>
                      </c:pt>
                      <c:pt idx="76">
                        <c:v>1832</c:v>
                      </c:pt>
                      <c:pt idx="77">
                        <c:v>1846</c:v>
                      </c:pt>
                      <c:pt idx="78">
                        <c:v>1868</c:v>
                      </c:pt>
                      <c:pt idx="79">
                        <c:v>1898</c:v>
                      </c:pt>
                      <c:pt idx="80">
                        <c:v>1945</c:v>
                      </c:pt>
                      <c:pt idx="81">
                        <c:v>1989</c:v>
                      </c:pt>
                      <c:pt idx="82">
                        <c:v>2011</c:v>
                      </c:pt>
                      <c:pt idx="83">
                        <c:v>2007</c:v>
                      </c:pt>
                      <c:pt idx="84">
                        <c:v>1989</c:v>
                      </c:pt>
                      <c:pt idx="85">
                        <c:v>1975</c:v>
                      </c:pt>
                      <c:pt idx="86">
                        <c:v>1979</c:v>
                      </c:pt>
                      <c:pt idx="87">
                        <c:v>2003</c:v>
                      </c:pt>
                      <c:pt idx="88">
                        <c:v>2039</c:v>
                      </c:pt>
                      <c:pt idx="89">
                        <c:v>2077</c:v>
                      </c:pt>
                      <c:pt idx="90">
                        <c:v>2109</c:v>
                      </c:pt>
                      <c:pt idx="91">
                        <c:v>2145</c:v>
                      </c:pt>
                      <c:pt idx="92">
                        <c:v>2179</c:v>
                      </c:pt>
                      <c:pt idx="93">
                        <c:v>2192</c:v>
                      </c:pt>
                      <c:pt idx="94">
                        <c:v>2174</c:v>
                      </c:pt>
                      <c:pt idx="95">
                        <c:v>2127</c:v>
                      </c:pt>
                      <c:pt idx="96">
                        <c:v>2081</c:v>
                      </c:pt>
                      <c:pt idx="97">
                        <c:v>2070</c:v>
                      </c:pt>
                      <c:pt idx="98">
                        <c:v>2102</c:v>
                      </c:pt>
                      <c:pt idx="99">
                        <c:v>2167</c:v>
                      </c:pt>
                      <c:pt idx="100">
                        <c:v>2138</c:v>
                      </c:pt>
                      <c:pt idx="101">
                        <c:v>2013</c:v>
                      </c:pt>
                      <c:pt idx="102">
                        <c:v>2101</c:v>
                      </c:pt>
                      <c:pt idx="103">
                        <c:v>2148</c:v>
                      </c:pt>
                      <c:pt idx="104">
                        <c:v>2201</c:v>
                      </c:pt>
                      <c:pt idx="105">
                        <c:v>2211</c:v>
                      </c:pt>
                      <c:pt idx="106">
                        <c:v>2151</c:v>
                      </c:pt>
                      <c:pt idx="107">
                        <c:v>2071</c:v>
                      </c:pt>
                      <c:pt idx="108">
                        <c:v>2025</c:v>
                      </c:pt>
                      <c:pt idx="109">
                        <c:v>2026</c:v>
                      </c:pt>
                      <c:pt idx="110">
                        <c:v>2059</c:v>
                      </c:pt>
                      <c:pt idx="111">
                        <c:v>2081</c:v>
                      </c:pt>
                      <c:pt idx="112">
                        <c:v>2088</c:v>
                      </c:pt>
                      <c:pt idx="113">
                        <c:v>2078</c:v>
                      </c:pt>
                      <c:pt idx="114">
                        <c:v>2083</c:v>
                      </c:pt>
                      <c:pt idx="115">
                        <c:v>2129</c:v>
                      </c:pt>
                      <c:pt idx="116">
                        <c:v>2199</c:v>
                      </c:pt>
                      <c:pt idx="117">
                        <c:v>2218</c:v>
                      </c:pt>
                      <c:pt idx="118">
                        <c:v>2197</c:v>
                      </c:pt>
                      <c:pt idx="119">
                        <c:v>2129</c:v>
                      </c:pt>
                      <c:pt idx="120">
                        <c:v>2078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7F2-4439-907B-2DBC758769AE}"/>
                  </c:ext>
                </c:extLst>
              </c15:ser>
            </c15:filteredLineSeries>
          </c:ext>
        </c:extLst>
      </c:lineChart>
      <c:dateAx>
        <c:axId val="1683117624"/>
        <c:scaling>
          <c:orientation val="minMax"/>
        </c:scaling>
        <c:delete val="0"/>
        <c:axPos val="b"/>
        <c:numFmt formatCode="mm/yyyy" sourceLinked="0"/>
        <c:majorTickMark val="out"/>
        <c:minorTickMark val="none"/>
        <c:tickLblPos val="low"/>
        <c:spPr>
          <a:noFill/>
          <a:ln w="1587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Foundry Form Sans" panose="02000503050000020004" pitchFamily="2" charset="0"/>
                <a:ea typeface="+mn-ea"/>
                <a:cs typeface="+mn-cs"/>
              </a:defRPr>
            </a:pPr>
            <a:endParaRPr lang="en-US"/>
          </a:p>
        </c:txPr>
        <c:crossAx val="1683115104"/>
        <c:crosses val="autoZero"/>
        <c:auto val="1"/>
        <c:lblOffset val="100"/>
        <c:baseTimeUnit val="days"/>
      </c:dateAx>
      <c:valAx>
        <c:axId val="16831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7E6E6"/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Foundry Form Sans" panose="02000503050000020004" pitchFamily="2" charset="0"/>
                <a:ea typeface="+mn-ea"/>
                <a:cs typeface="+mn-cs"/>
              </a:defRPr>
            </a:pPr>
            <a:endParaRPr lang="en-US"/>
          </a:p>
        </c:txPr>
        <c:crossAx val="1683117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oundry Form Sans" panose="0200050305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Foundry Form Sans" panose="0200050305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Foundry Form Sans" panose="02000503050000020004" pitchFamily="2" charset="0"/>
                <a:ea typeface="+mn-ea"/>
                <a:cs typeface="+mn-cs"/>
              </a:defRPr>
            </a:pPr>
            <a:r>
              <a:rPr lang="en-GB"/>
              <a:t>Chart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Foundry Form Sans" panose="0200050305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590739749655458E-2"/>
          <c:y val="5.0600610101723134E-2"/>
          <c:w val="0.7392124570115467"/>
          <c:h val="0.8807130603661445"/>
        </c:manualLayout>
      </c:layout>
      <c:lineChart>
        <c:grouping val="standard"/>
        <c:varyColors val="0"/>
        <c:ser>
          <c:idx val="1"/>
          <c:order val="1"/>
          <c:tx>
            <c:strRef>
              <c:f>'RICS rental sentiment'!$D$7:$D$8</c:f>
              <c:strCache>
                <c:ptCount val="2"/>
                <c:pt idx="0">
                  <c:v>Tenant demand</c:v>
                </c:pt>
                <c:pt idx="1">
                  <c:v>London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'RICS rental sentiment'!$B$11:$B$119</c15:sqref>
                  </c15:fullRef>
                </c:ext>
              </c:extLst>
              <c:f>'RICS rental sentiment'!$B$106:$B$119</c:f>
              <c:strCache>
                <c:ptCount val="14"/>
                <c:pt idx="0">
                  <c:v>2022 Q4</c:v>
                </c:pt>
                <c:pt idx="1">
                  <c:v>2023 Q1</c:v>
                </c:pt>
                <c:pt idx="2">
                  <c:v>2023 Q2</c:v>
                </c:pt>
                <c:pt idx="3">
                  <c:v>2023 Q3</c:v>
                </c:pt>
                <c:pt idx="4">
                  <c:v>2023 Q4</c:v>
                </c:pt>
                <c:pt idx="5">
                  <c:v>2024 Q1</c:v>
                </c:pt>
                <c:pt idx="6">
                  <c:v>2024 Q2</c:v>
                </c:pt>
                <c:pt idx="7">
                  <c:v>2024 Q3</c:v>
                </c:pt>
                <c:pt idx="8">
                  <c:v>2024 Q4</c:v>
                </c:pt>
                <c:pt idx="9">
                  <c:v>2025 Q1</c:v>
                </c:pt>
                <c:pt idx="10">
                  <c:v>2025 Q2 </c:v>
                </c:pt>
                <c:pt idx="11">
                  <c:v>2025 Q3</c:v>
                </c:pt>
                <c:pt idx="12">
                  <c:v>2025 Q4</c:v>
                </c:pt>
                <c:pt idx="13">
                  <c:v>2026 Q1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'RICS rental sentiment'!$D$11:$D$119</c15:sqref>
                  </c15:fullRef>
                </c:ext>
              </c:extLst>
              <c:f>'RICS rental sentiment'!$D$106:$D$119</c:f>
              <c:numCache>
                <c:formatCode>0</c:formatCode>
                <c:ptCount val="14"/>
                <c:pt idx="0">
                  <c:v>63.5080999154751</c:v>
                </c:pt>
                <c:pt idx="1">
                  <c:v>54.797225093790402</c:v>
                </c:pt>
                <c:pt idx="2">
                  <c:v>31.532341096652999</c:v>
                </c:pt>
                <c:pt idx="3">
                  <c:v>54.961637675844599</c:v>
                </c:pt>
                <c:pt idx="4">
                  <c:v>-7.4395056463307903</c:v>
                </c:pt>
                <c:pt idx="5">
                  <c:v>11.278978753281599</c:v>
                </c:pt>
                <c:pt idx="6">
                  <c:v>1.46524437045222</c:v>
                </c:pt>
                <c:pt idx="7">
                  <c:v>-2.8316356796051401</c:v>
                </c:pt>
                <c:pt idx="8">
                  <c:v>-5.9749654034437398</c:v>
                </c:pt>
                <c:pt idx="9">
                  <c:v>-12.359802073627099</c:v>
                </c:pt>
                <c:pt idx="10">
                  <c:v>0.934859232503782</c:v>
                </c:pt>
                <c:pt idx="11">
                  <c:v>2.9904585808178399</c:v>
                </c:pt>
                <c:pt idx="12">
                  <c:v>-31.7764090775784</c:v>
                </c:pt>
                <c:pt idx="13">
                  <c:v>-3.4246805492416801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F2-4439-907B-2DBC758769AE}"/>
            </c:ext>
          </c:extLst>
        </c:ser>
        <c:ser>
          <c:idx val="3"/>
          <c:order val="3"/>
          <c:tx>
            <c:strRef>
              <c:f>'RICS rental sentiment'!$F$7:$F$8</c:f>
              <c:strCache>
                <c:ptCount val="2"/>
                <c:pt idx="0">
                  <c:v>Landlord instructions</c:v>
                </c:pt>
                <c:pt idx="1">
                  <c:v>London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'RICS rental sentiment'!$B$11:$B$119</c15:sqref>
                  </c15:fullRef>
                </c:ext>
              </c:extLst>
              <c:f>'RICS rental sentiment'!$B$106:$B$119</c:f>
              <c:strCache>
                <c:ptCount val="14"/>
                <c:pt idx="0">
                  <c:v>2022 Q4</c:v>
                </c:pt>
                <c:pt idx="1">
                  <c:v>2023 Q1</c:v>
                </c:pt>
                <c:pt idx="2">
                  <c:v>2023 Q2</c:v>
                </c:pt>
                <c:pt idx="3">
                  <c:v>2023 Q3</c:v>
                </c:pt>
                <c:pt idx="4">
                  <c:v>2023 Q4</c:v>
                </c:pt>
                <c:pt idx="5">
                  <c:v>2024 Q1</c:v>
                </c:pt>
                <c:pt idx="6">
                  <c:v>2024 Q2</c:v>
                </c:pt>
                <c:pt idx="7">
                  <c:v>2024 Q3</c:v>
                </c:pt>
                <c:pt idx="8">
                  <c:v>2024 Q4</c:v>
                </c:pt>
                <c:pt idx="9">
                  <c:v>2025 Q1</c:v>
                </c:pt>
                <c:pt idx="10">
                  <c:v>2025 Q2 </c:v>
                </c:pt>
                <c:pt idx="11">
                  <c:v>2025 Q3</c:v>
                </c:pt>
                <c:pt idx="12">
                  <c:v>2025 Q4</c:v>
                </c:pt>
                <c:pt idx="13">
                  <c:v>2026 Q1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'RICS rental sentiment'!$F$11:$F$119</c15:sqref>
                  </c15:fullRef>
                </c:ext>
              </c:extLst>
              <c:f>'RICS rental sentiment'!$F$106:$F$119</c:f>
              <c:numCache>
                <c:formatCode>0</c:formatCode>
                <c:ptCount val="14"/>
                <c:pt idx="0">
                  <c:v>-20.7753929422928</c:v>
                </c:pt>
                <c:pt idx="1">
                  <c:v>-12.1050285303808</c:v>
                </c:pt>
                <c:pt idx="2">
                  <c:v>-19.1075606887633</c:v>
                </c:pt>
                <c:pt idx="3">
                  <c:v>-15.022732478839799</c:v>
                </c:pt>
                <c:pt idx="4">
                  <c:v>-16.039413151277099</c:v>
                </c:pt>
                <c:pt idx="5">
                  <c:v>-18.852156297494599</c:v>
                </c:pt>
                <c:pt idx="6">
                  <c:v>17.733177274920799</c:v>
                </c:pt>
                <c:pt idx="7">
                  <c:v>-5.7860707590691698</c:v>
                </c:pt>
                <c:pt idx="8">
                  <c:v>-28.076090716702598</c:v>
                </c:pt>
                <c:pt idx="9">
                  <c:v>-22.5292125575786</c:v>
                </c:pt>
                <c:pt idx="10">
                  <c:v>-15.9691603668141</c:v>
                </c:pt>
                <c:pt idx="11">
                  <c:v>-39.868571807329197</c:v>
                </c:pt>
                <c:pt idx="12">
                  <c:v>-5.8439629496499403</c:v>
                </c:pt>
                <c:pt idx="13">
                  <c:v>-8.4439074086175001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9A9-4A5D-8B43-68DB25531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117624"/>
        <c:axId val="16831151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'RICS rental sentiment'!$C$7:$C$8</c15:sqref>
                        </c15:formulaRef>
                      </c:ext>
                    </c:extLst>
                    <c:strCache>
                      <c:ptCount val="2"/>
                      <c:pt idx="0">
                        <c:v>Tenant demand</c:v>
                      </c:pt>
                      <c:pt idx="1">
                        <c:v>England and Wales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'RICS rental sentiment'!$B$11:$B$119</c15:sqref>
                        </c15:fullRef>
                        <c15:formulaRef>
                          <c15:sqref>'RICS rental sentiment'!$B$106:$B$119</c15:sqref>
                        </c15:formulaRef>
                      </c:ext>
                    </c:extLst>
                    <c:strCache>
                      <c:ptCount val="14"/>
                      <c:pt idx="0">
                        <c:v>2022 Q4</c:v>
                      </c:pt>
                      <c:pt idx="1">
                        <c:v>2023 Q1</c:v>
                      </c:pt>
                      <c:pt idx="2">
                        <c:v>2023 Q2</c:v>
                      </c:pt>
                      <c:pt idx="3">
                        <c:v>2023 Q3</c:v>
                      </c:pt>
                      <c:pt idx="4">
                        <c:v>2023 Q4</c:v>
                      </c:pt>
                      <c:pt idx="5">
                        <c:v>2024 Q1</c:v>
                      </c:pt>
                      <c:pt idx="6">
                        <c:v>2024 Q2</c:v>
                      </c:pt>
                      <c:pt idx="7">
                        <c:v>2024 Q3</c:v>
                      </c:pt>
                      <c:pt idx="8">
                        <c:v>2024 Q4</c:v>
                      </c:pt>
                      <c:pt idx="9">
                        <c:v>2025 Q1</c:v>
                      </c:pt>
                      <c:pt idx="10">
                        <c:v>2025 Q2 </c:v>
                      </c:pt>
                      <c:pt idx="11">
                        <c:v>2025 Q3</c:v>
                      </c:pt>
                      <c:pt idx="12">
                        <c:v>2025 Q4</c:v>
                      </c:pt>
                      <c:pt idx="13">
                        <c:v>2026 Q1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'RICS rental sentiment'!$C$9:$C$119</c15:sqref>
                        </c15:fullRef>
                        <c15:formulaRef>
                          <c15:sqref>'RICS rental sentiment'!$C$104:$C$119</c15:sqref>
                        </c15:formulaRef>
                      </c:ext>
                    </c:extLst>
                    <c:numCache>
                      <c:formatCode>0</c:formatCode>
                      <c:ptCount val="16"/>
                      <c:pt idx="0">
                        <c:v>50.290824241320237</c:v>
                      </c:pt>
                      <c:pt idx="1">
                        <c:v>35.84294136137332</c:v>
                      </c:pt>
                      <c:pt idx="2">
                        <c:v>47.535015243035879</c:v>
                      </c:pt>
                      <c:pt idx="3">
                        <c:v>43.061684229058727</c:v>
                      </c:pt>
                      <c:pt idx="4">
                        <c:v>42.400071216776936</c:v>
                      </c:pt>
                      <c:pt idx="5">
                        <c:v>52.24363161162993</c:v>
                      </c:pt>
                      <c:pt idx="6">
                        <c:v>32.925062628721285</c:v>
                      </c:pt>
                      <c:pt idx="7">
                        <c:v>29.436788153447239</c:v>
                      </c:pt>
                      <c:pt idx="8">
                        <c:v>11.591463620200098</c:v>
                      </c:pt>
                      <c:pt idx="9">
                        <c:v>18.559174262239289</c:v>
                      </c:pt>
                      <c:pt idx="10">
                        <c:v>19.583429060265871</c:v>
                      </c:pt>
                      <c:pt idx="11">
                        <c:v>2.8339966833105521</c:v>
                      </c:pt>
                      <c:pt idx="12">
                        <c:v>12.826578973510877</c:v>
                      </c:pt>
                      <c:pt idx="13">
                        <c:v>3.923267155985358</c:v>
                      </c:pt>
                      <c:pt idx="14">
                        <c:v>-1.646210016333121</c:v>
                      </c:pt>
                      <c:pt idx="15">
                        <c:v>12.738953014989733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7F2-4439-907B-2DBC758769A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'RICS rental sentiment'!$E$7:$E$8</c15:sqref>
                        </c15:formulaRef>
                      </c:ext>
                    </c:extLst>
                    <c:strCache>
                      <c:ptCount val="2"/>
                      <c:pt idx="0">
                        <c:v>Landlord instructions</c:v>
                      </c:pt>
                      <c:pt idx="1">
                        <c:v>England and Wales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'RICS rental sentiment'!$B$11:$B$119</c15:sqref>
                        </c15:fullRef>
                        <c15:formulaRef>
                          <c15:sqref>'RICS rental sentiment'!$B$106:$B$119</c15:sqref>
                        </c15:formulaRef>
                      </c:ext>
                    </c:extLst>
                    <c:strCache>
                      <c:ptCount val="14"/>
                      <c:pt idx="0">
                        <c:v>2022 Q4</c:v>
                      </c:pt>
                      <c:pt idx="1">
                        <c:v>2023 Q1</c:v>
                      </c:pt>
                      <c:pt idx="2">
                        <c:v>2023 Q2</c:v>
                      </c:pt>
                      <c:pt idx="3">
                        <c:v>2023 Q3</c:v>
                      </c:pt>
                      <c:pt idx="4">
                        <c:v>2023 Q4</c:v>
                      </c:pt>
                      <c:pt idx="5">
                        <c:v>2024 Q1</c:v>
                      </c:pt>
                      <c:pt idx="6">
                        <c:v>2024 Q2</c:v>
                      </c:pt>
                      <c:pt idx="7">
                        <c:v>2024 Q3</c:v>
                      </c:pt>
                      <c:pt idx="8">
                        <c:v>2024 Q4</c:v>
                      </c:pt>
                      <c:pt idx="9">
                        <c:v>2025 Q1</c:v>
                      </c:pt>
                      <c:pt idx="10">
                        <c:v>2025 Q2 </c:v>
                      </c:pt>
                      <c:pt idx="11">
                        <c:v>2025 Q3</c:v>
                      </c:pt>
                      <c:pt idx="12">
                        <c:v>2025 Q4</c:v>
                      </c:pt>
                      <c:pt idx="13">
                        <c:v>2026 Q1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'RICS rental sentiment'!$E$9:$E$119</c15:sqref>
                        </c15:fullRef>
                        <c15:formulaRef>
                          <c15:sqref>'RICS rental sentiment'!$E$104:$E$119</c15:sqref>
                        </c15:formulaRef>
                      </c:ext>
                    </c:extLst>
                    <c:numCache>
                      <c:formatCode>0</c:formatCode>
                      <c:ptCount val="16"/>
                      <c:pt idx="0">
                        <c:v>-8.7299935201219476</c:v>
                      </c:pt>
                      <c:pt idx="1">
                        <c:v>-8.0952565910196395</c:v>
                      </c:pt>
                      <c:pt idx="2">
                        <c:v>-14.594204739832144</c:v>
                      </c:pt>
                      <c:pt idx="3">
                        <c:v>-16.506466584715117</c:v>
                      </c:pt>
                      <c:pt idx="4">
                        <c:v>-24.114131061749188</c:v>
                      </c:pt>
                      <c:pt idx="5">
                        <c:v>-27.665007686699546</c:v>
                      </c:pt>
                      <c:pt idx="6">
                        <c:v>-15.927515659875658</c:v>
                      </c:pt>
                      <c:pt idx="7">
                        <c:v>-20.586711826089445</c:v>
                      </c:pt>
                      <c:pt idx="8">
                        <c:v>-12.646556929454311</c:v>
                      </c:pt>
                      <c:pt idx="9">
                        <c:v>-16.452528668056715</c:v>
                      </c:pt>
                      <c:pt idx="10">
                        <c:v>-26.296197986559598</c:v>
                      </c:pt>
                      <c:pt idx="11">
                        <c:v>-20.75865404830736</c:v>
                      </c:pt>
                      <c:pt idx="12">
                        <c:v>-25.791493972744586</c:v>
                      </c:pt>
                      <c:pt idx="13">
                        <c:v>-30.939260349190555</c:v>
                      </c:pt>
                      <c:pt idx="14">
                        <c:v>-31.281887614899155</c:v>
                      </c:pt>
                      <c:pt idx="15">
                        <c:v>-23.985387300786186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7F2-4439-907B-2DBC758769AE}"/>
                  </c:ext>
                </c:extLst>
              </c15:ser>
            </c15:filteredLineSeries>
          </c:ext>
        </c:extLst>
      </c:lineChart>
      <c:catAx>
        <c:axId val="1683117624"/>
        <c:scaling>
          <c:orientation val="minMax"/>
        </c:scaling>
        <c:delete val="0"/>
        <c:axPos val="b"/>
        <c:numFmt formatCode="mm/yyyy" sourceLinked="0"/>
        <c:majorTickMark val="none"/>
        <c:minorTickMark val="none"/>
        <c:tickLblPos val="low"/>
        <c:spPr>
          <a:noFill/>
          <a:ln w="2857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Foundry Form Sans" panose="02000503050000020004" pitchFamily="2" charset="0"/>
                <a:ea typeface="+mn-ea"/>
                <a:cs typeface="+mn-cs"/>
              </a:defRPr>
            </a:pPr>
            <a:endParaRPr lang="en-US"/>
          </a:p>
        </c:txPr>
        <c:crossAx val="1683115104"/>
        <c:crosses val="autoZero"/>
        <c:auto val="1"/>
        <c:lblAlgn val="ctr"/>
        <c:lblOffset val="100"/>
        <c:tickMarkSkip val="1"/>
        <c:noMultiLvlLbl val="0"/>
      </c:catAx>
      <c:valAx>
        <c:axId val="16831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7E6E6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Foundry Form Sans" panose="02000503050000020004" pitchFamily="2" charset="0"/>
                <a:ea typeface="+mn-ea"/>
                <a:cs typeface="+mn-cs"/>
              </a:defRPr>
            </a:pPr>
            <a:endParaRPr lang="en-US"/>
          </a:p>
        </c:txPr>
        <c:crossAx val="1683117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oundry Form Sans" panose="0200050305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Foundry Form Sans" panose="0200050305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Prevention duty by reason of loss or threat of last settled home (excluding other/unknown)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'Prevention duty S21'!$B$9:$B$14</c:f>
              <c:numCache>
                <c:formatCode>m/d/yy</c:formatCode>
                <c:ptCount val="6"/>
                <c:pt idx="0">
                  <c:v>45444</c:v>
                </c:pt>
                <c:pt idx="1">
                  <c:v>45536</c:v>
                </c:pt>
                <c:pt idx="2">
                  <c:v>45627</c:v>
                </c:pt>
                <c:pt idx="3">
                  <c:v>45717</c:v>
                </c:pt>
                <c:pt idx="4">
                  <c:v>45809</c:v>
                </c:pt>
                <c:pt idx="5">
                  <c:v>45901</c:v>
                </c:pt>
              </c:numCache>
            </c:numRef>
          </c:cat>
          <c:val>
            <c:numRef>
              <c:f>'Prevention duty S21'!#REF!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'Prevention duty S21'!#REF!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EAA-0D49-BB11-9139B0DDCC6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'Prevention duty S21'!$B$9:$B$14</c:f>
              <c:numCache>
                <c:formatCode>m/d/yy</c:formatCode>
                <c:ptCount val="6"/>
                <c:pt idx="0">
                  <c:v>45444</c:v>
                </c:pt>
                <c:pt idx="1">
                  <c:v>45536</c:v>
                </c:pt>
                <c:pt idx="2">
                  <c:v>45627</c:v>
                </c:pt>
                <c:pt idx="3">
                  <c:v>45717</c:v>
                </c:pt>
                <c:pt idx="4">
                  <c:v>45809</c:v>
                </c:pt>
                <c:pt idx="5">
                  <c:v>45901</c:v>
                </c:pt>
              </c:numCache>
            </c:numRef>
          </c:cat>
          <c:val>
            <c:numRef>
              <c:f>'Prevention duty S21'!#REF!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'Prevention duty S21'!#REF!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4EAA-0D49-BB11-9139B0DDCC6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'Prevention duty S21'!$B$9:$B$14</c:f>
              <c:numCache>
                <c:formatCode>m/d/yy</c:formatCode>
                <c:ptCount val="6"/>
                <c:pt idx="0">
                  <c:v>45444</c:v>
                </c:pt>
                <c:pt idx="1">
                  <c:v>45536</c:v>
                </c:pt>
                <c:pt idx="2">
                  <c:v>45627</c:v>
                </c:pt>
                <c:pt idx="3">
                  <c:v>45717</c:v>
                </c:pt>
                <c:pt idx="4">
                  <c:v>45809</c:v>
                </c:pt>
                <c:pt idx="5">
                  <c:v>45901</c:v>
                </c:pt>
              </c:numCache>
            </c:numRef>
          </c:cat>
          <c:val>
            <c:numRef>
              <c:f>'Prevention duty S21'!#REF!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'Prevention duty S21'!#REF!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4EAA-0D49-BB11-9139B0DDCC6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'Prevention duty S21'!$B$9:$B$14</c:f>
              <c:numCache>
                <c:formatCode>m/d/yy</c:formatCode>
                <c:ptCount val="6"/>
                <c:pt idx="0">
                  <c:v>45444</c:v>
                </c:pt>
                <c:pt idx="1">
                  <c:v>45536</c:v>
                </c:pt>
                <c:pt idx="2">
                  <c:v>45627</c:v>
                </c:pt>
                <c:pt idx="3">
                  <c:v>45717</c:v>
                </c:pt>
                <c:pt idx="4">
                  <c:v>45809</c:v>
                </c:pt>
                <c:pt idx="5">
                  <c:v>45901</c:v>
                </c:pt>
              </c:numCache>
            </c:numRef>
          </c:cat>
          <c:val>
            <c:numRef>
              <c:f>'Prevention duty S21'!#REF!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'Prevention duty S21'!#REF!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4EAA-0D49-BB11-9139B0DDCC66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'Prevention duty S21'!$B$9:$B$14</c:f>
              <c:numCache>
                <c:formatCode>m/d/yy</c:formatCode>
                <c:ptCount val="6"/>
                <c:pt idx="0">
                  <c:v>45444</c:v>
                </c:pt>
                <c:pt idx="1">
                  <c:v>45536</c:v>
                </c:pt>
                <c:pt idx="2">
                  <c:v>45627</c:v>
                </c:pt>
                <c:pt idx="3">
                  <c:v>45717</c:v>
                </c:pt>
                <c:pt idx="4">
                  <c:v>45809</c:v>
                </c:pt>
                <c:pt idx="5">
                  <c:v>45901</c:v>
                </c:pt>
              </c:numCache>
            </c:numRef>
          </c:cat>
          <c:val>
            <c:numRef>
              <c:f>'Prevention duty S21'!#REF!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'Prevention duty S21'!#REF!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4EAA-0D49-BB11-9139B0DDCC66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'Prevention duty S21'!$B$9:$B$14</c:f>
              <c:numCache>
                <c:formatCode>m/d/yy</c:formatCode>
                <c:ptCount val="6"/>
                <c:pt idx="0">
                  <c:v>45444</c:v>
                </c:pt>
                <c:pt idx="1">
                  <c:v>45536</c:v>
                </c:pt>
                <c:pt idx="2">
                  <c:v>45627</c:v>
                </c:pt>
                <c:pt idx="3">
                  <c:v>45717</c:v>
                </c:pt>
                <c:pt idx="4">
                  <c:v>45809</c:v>
                </c:pt>
                <c:pt idx="5">
                  <c:v>45901</c:v>
                </c:pt>
              </c:numCache>
            </c:numRef>
          </c:cat>
          <c:val>
            <c:numRef>
              <c:f>'Prevention duty S21'!#REF!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'Prevention duty S21'!#REF!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4EAA-0D49-BB11-9139B0DDCC6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'Prevention duty S21'!$B$9:$B$14</c:f>
              <c:numCache>
                <c:formatCode>m/d/yy</c:formatCode>
                <c:ptCount val="6"/>
                <c:pt idx="0">
                  <c:v>45444</c:v>
                </c:pt>
                <c:pt idx="1">
                  <c:v>45536</c:v>
                </c:pt>
                <c:pt idx="2">
                  <c:v>45627</c:v>
                </c:pt>
                <c:pt idx="3">
                  <c:v>45717</c:v>
                </c:pt>
                <c:pt idx="4">
                  <c:v>45809</c:v>
                </c:pt>
                <c:pt idx="5">
                  <c:v>45901</c:v>
                </c:pt>
              </c:numCache>
            </c:numRef>
          </c:cat>
          <c:val>
            <c:numRef>
              <c:f>'Prevention duty S21'!#REF!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'Prevention duty S21'!#REF!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4EAA-0D49-BB11-9139B0DDC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30183168"/>
        <c:axId val="1330179568"/>
      </c:barChart>
      <c:dateAx>
        <c:axId val="133018316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179568"/>
        <c:crosses val="autoZero"/>
        <c:auto val="1"/>
        <c:lblOffset val="100"/>
        <c:baseTimeUnit val="months"/>
        <c:majorUnit val="3"/>
        <c:majorTimeUnit val="months"/>
      </c:dateAx>
      <c:valAx>
        <c:axId val="133017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7E6E6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18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Prevention duty by reason of loss or threat of last settled home (excluding other/unknown)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'Prevention duty S21'!$B$9:$B$14</c:f>
              <c:numCache>
                <c:formatCode>m/d/yy</c:formatCode>
                <c:ptCount val="6"/>
                <c:pt idx="0">
                  <c:v>45444</c:v>
                </c:pt>
                <c:pt idx="1">
                  <c:v>45536</c:v>
                </c:pt>
                <c:pt idx="2">
                  <c:v>45627</c:v>
                </c:pt>
                <c:pt idx="3">
                  <c:v>45717</c:v>
                </c:pt>
                <c:pt idx="4">
                  <c:v>45809</c:v>
                </c:pt>
                <c:pt idx="5">
                  <c:v>45901</c:v>
                </c:pt>
              </c:numCache>
            </c:numRef>
          </c:cat>
          <c:val>
            <c:numRef>
              <c:f>'Prevention duty S21'!#REF!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'Prevention duty S21'!#REF!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149-B94E-946E-70EC3CA8BBC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'Prevention duty S21'!$B$9:$B$14</c:f>
              <c:numCache>
                <c:formatCode>m/d/yy</c:formatCode>
                <c:ptCount val="6"/>
                <c:pt idx="0">
                  <c:v>45444</c:v>
                </c:pt>
                <c:pt idx="1">
                  <c:v>45536</c:v>
                </c:pt>
                <c:pt idx="2">
                  <c:v>45627</c:v>
                </c:pt>
                <c:pt idx="3">
                  <c:v>45717</c:v>
                </c:pt>
                <c:pt idx="4">
                  <c:v>45809</c:v>
                </c:pt>
                <c:pt idx="5">
                  <c:v>45901</c:v>
                </c:pt>
              </c:numCache>
            </c:numRef>
          </c:cat>
          <c:val>
            <c:numRef>
              <c:f>'Prevention duty S21'!#REF!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'Prevention duty S21'!#REF!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0149-B94E-946E-70EC3CA8BBC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'Prevention duty S21'!$B$9:$B$14</c:f>
              <c:numCache>
                <c:formatCode>m/d/yy</c:formatCode>
                <c:ptCount val="6"/>
                <c:pt idx="0">
                  <c:v>45444</c:v>
                </c:pt>
                <c:pt idx="1">
                  <c:v>45536</c:v>
                </c:pt>
                <c:pt idx="2">
                  <c:v>45627</c:v>
                </c:pt>
                <c:pt idx="3">
                  <c:v>45717</c:v>
                </c:pt>
                <c:pt idx="4">
                  <c:v>45809</c:v>
                </c:pt>
                <c:pt idx="5">
                  <c:v>45901</c:v>
                </c:pt>
              </c:numCache>
            </c:numRef>
          </c:cat>
          <c:val>
            <c:numRef>
              <c:f>'Prevention duty S21'!#REF!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'Prevention duty S21'!#REF!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0149-B94E-946E-70EC3CA8BBC8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'Prevention duty S21'!$B$9:$B$14</c:f>
              <c:numCache>
                <c:formatCode>m/d/yy</c:formatCode>
                <c:ptCount val="6"/>
                <c:pt idx="0">
                  <c:v>45444</c:v>
                </c:pt>
                <c:pt idx="1">
                  <c:v>45536</c:v>
                </c:pt>
                <c:pt idx="2">
                  <c:v>45627</c:v>
                </c:pt>
                <c:pt idx="3">
                  <c:v>45717</c:v>
                </c:pt>
                <c:pt idx="4">
                  <c:v>45809</c:v>
                </c:pt>
                <c:pt idx="5">
                  <c:v>45901</c:v>
                </c:pt>
              </c:numCache>
            </c:numRef>
          </c:cat>
          <c:val>
            <c:numRef>
              <c:f>'Prevention duty S21'!#REF!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'Prevention duty S21'!#REF!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0149-B94E-946E-70EC3CA8BBC8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'Prevention duty S21'!$B$9:$B$14</c:f>
              <c:numCache>
                <c:formatCode>m/d/yy</c:formatCode>
                <c:ptCount val="6"/>
                <c:pt idx="0">
                  <c:v>45444</c:v>
                </c:pt>
                <c:pt idx="1">
                  <c:v>45536</c:v>
                </c:pt>
                <c:pt idx="2">
                  <c:v>45627</c:v>
                </c:pt>
                <c:pt idx="3">
                  <c:v>45717</c:v>
                </c:pt>
                <c:pt idx="4">
                  <c:v>45809</c:v>
                </c:pt>
                <c:pt idx="5">
                  <c:v>45901</c:v>
                </c:pt>
              </c:numCache>
            </c:numRef>
          </c:cat>
          <c:val>
            <c:numRef>
              <c:f>'Prevention duty S21'!#REF!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'Prevention duty S21'!#REF!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0149-B94E-946E-70EC3CA8BBC8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'Prevention duty S21'!$B$9:$B$14</c:f>
              <c:numCache>
                <c:formatCode>m/d/yy</c:formatCode>
                <c:ptCount val="6"/>
                <c:pt idx="0">
                  <c:v>45444</c:v>
                </c:pt>
                <c:pt idx="1">
                  <c:v>45536</c:v>
                </c:pt>
                <c:pt idx="2">
                  <c:v>45627</c:v>
                </c:pt>
                <c:pt idx="3">
                  <c:v>45717</c:v>
                </c:pt>
                <c:pt idx="4">
                  <c:v>45809</c:v>
                </c:pt>
                <c:pt idx="5">
                  <c:v>45901</c:v>
                </c:pt>
              </c:numCache>
            </c:numRef>
          </c:cat>
          <c:val>
            <c:numRef>
              <c:f>'Prevention duty S21'!#REF!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'Prevention duty S21'!#REF!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0149-B94E-946E-70EC3CA8BBC8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'Prevention duty S21'!$B$9:$B$14</c:f>
              <c:numCache>
                <c:formatCode>m/d/yy</c:formatCode>
                <c:ptCount val="6"/>
                <c:pt idx="0">
                  <c:v>45444</c:v>
                </c:pt>
                <c:pt idx="1">
                  <c:v>45536</c:v>
                </c:pt>
                <c:pt idx="2">
                  <c:v>45627</c:v>
                </c:pt>
                <c:pt idx="3">
                  <c:v>45717</c:v>
                </c:pt>
                <c:pt idx="4">
                  <c:v>45809</c:v>
                </c:pt>
                <c:pt idx="5">
                  <c:v>45901</c:v>
                </c:pt>
              </c:numCache>
            </c:numRef>
          </c:cat>
          <c:val>
            <c:numRef>
              <c:f>'Prevention duty S21'!#REF!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'Prevention duty S21'!#REF!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0149-B94E-946E-70EC3CA8B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30183168"/>
        <c:axId val="1330179568"/>
      </c:barChart>
      <c:dateAx>
        <c:axId val="133018316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179568"/>
        <c:crosses val="autoZero"/>
        <c:auto val="1"/>
        <c:lblOffset val="100"/>
        <c:baseTimeUnit val="months"/>
        <c:majorUnit val="3"/>
        <c:majorTimeUnit val="months"/>
      </c:dateAx>
      <c:valAx>
        <c:axId val="133017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7E6E6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18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Foundry Form Sans" panose="02000503050000020004" pitchFamily="2" charset="0"/>
                <a:ea typeface="+mn-ea"/>
                <a:cs typeface="+mn-cs"/>
              </a:defRPr>
            </a:pPr>
            <a:r>
              <a:rPr lang="en-GB"/>
              <a:t>Chart Title</a:t>
            </a:r>
          </a:p>
        </c:rich>
      </c:tx>
      <c:layout>
        <c:manualLayout>
          <c:xMode val="edge"/>
          <c:yMode val="edge"/>
          <c:x val="0.42998351834742798"/>
          <c:y val="1.33486790588655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Foundry Form Sans" panose="0200050305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766556156261916E-2"/>
          <c:y val="8.8968593522371131E-2"/>
          <c:w val="0.75198620298771301"/>
          <c:h val="0.8482517612688385"/>
        </c:manualLayout>
      </c:layout>
      <c:lineChart>
        <c:grouping val="standard"/>
        <c:varyColors val="0"/>
        <c:ser>
          <c:idx val="3"/>
          <c:order val="3"/>
          <c:tx>
            <c:strRef>
              <c:f>'Rental supply rightmove'!$F$8</c:f>
              <c:strCache>
                <c:ptCount val="1"/>
                <c:pt idx="0">
                  <c:v>14 days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'Rental supply rightmove'!$B$179:$B$261</c:f>
              <c:numCache>
                <c:formatCode>m/d/yy</c:formatCode>
                <c:ptCount val="83"/>
                <c:pt idx="0">
                  <c:v>44894</c:v>
                </c:pt>
                <c:pt idx="1">
                  <c:v>44908</c:v>
                </c:pt>
                <c:pt idx="2">
                  <c:v>44925</c:v>
                </c:pt>
                <c:pt idx="3">
                  <c:v>44936</c:v>
                </c:pt>
                <c:pt idx="4">
                  <c:v>44950</c:v>
                </c:pt>
                <c:pt idx="5">
                  <c:v>44964</c:v>
                </c:pt>
                <c:pt idx="6">
                  <c:v>44978</c:v>
                </c:pt>
                <c:pt idx="7">
                  <c:v>44992</c:v>
                </c:pt>
                <c:pt idx="8">
                  <c:v>45006</c:v>
                </c:pt>
                <c:pt idx="9">
                  <c:v>45020</c:v>
                </c:pt>
                <c:pt idx="10">
                  <c:v>45034</c:v>
                </c:pt>
                <c:pt idx="11">
                  <c:v>45048</c:v>
                </c:pt>
                <c:pt idx="12">
                  <c:v>45062</c:v>
                </c:pt>
                <c:pt idx="13">
                  <c:v>45076</c:v>
                </c:pt>
                <c:pt idx="14">
                  <c:v>45090</c:v>
                </c:pt>
                <c:pt idx="15">
                  <c:v>45104</c:v>
                </c:pt>
                <c:pt idx="16">
                  <c:v>45118</c:v>
                </c:pt>
                <c:pt idx="17">
                  <c:v>45132</c:v>
                </c:pt>
                <c:pt idx="18">
                  <c:v>45146</c:v>
                </c:pt>
                <c:pt idx="19">
                  <c:v>45160</c:v>
                </c:pt>
                <c:pt idx="20">
                  <c:v>45174</c:v>
                </c:pt>
                <c:pt idx="21">
                  <c:v>45188</c:v>
                </c:pt>
                <c:pt idx="22">
                  <c:v>45202</c:v>
                </c:pt>
                <c:pt idx="23">
                  <c:v>45216</c:v>
                </c:pt>
                <c:pt idx="24">
                  <c:v>45230</c:v>
                </c:pt>
                <c:pt idx="25">
                  <c:v>45244</c:v>
                </c:pt>
                <c:pt idx="26">
                  <c:v>45258</c:v>
                </c:pt>
                <c:pt idx="27">
                  <c:v>45273</c:v>
                </c:pt>
                <c:pt idx="28">
                  <c:v>45292</c:v>
                </c:pt>
                <c:pt idx="29">
                  <c:v>45300</c:v>
                </c:pt>
                <c:pt idx="30">
                  <c:v>45314</c:v>
                </c:pt>
                <c:pt idx="31">
                  <c:v>45328</c:v>
                </c:pt>
                <c:pt idx="32">
                  <c:v>45342</c:v>
                </c:pt>
                <c:pt idx="33">
                  <c:v>45356</c:v>
                </c:pt>
                <c:pt idx="34">
                  <c:v>45370</c:v>
                </c:pt>
                <c:pt idx="35">
                  <c:v>45384</c:v>
                </c:pt>
                <c:pt idx="36">
                  <c:v>45398</c:v>
                </c:pt>
                <c:pt idx="37">
                  <c:v>45426</c:v>
                </c:pt>
                <c:pt idx="38">
                  <c:v>45440</c:v>
                </c:pt>
                <c:pt idx="39">
                  <c:v>45454</c:v>
                </c:pt>
                <c:pt idx="40">
                  <c:v>45468</c:v>
                </c:pt>
                <c:pt idx="41">
                  <c:v>45482</c:v>
                </c:pt>
                <c:pt idx="42">
                  <c:v>45496</c:v>
                </c:pt>
                <c:pt idx="43">
                  <c:v>45510</c:v>
                </c:pt>
                <c:pt idx="44">
                  <c:v>45524</c:v>
                </c:pt>
                <c:pt idx="45">
                  <c:v>45552</c:v>
                </c:pt>
                <c:pt idx="46">
                  <c:v>45566</c:v>
                </c:pt>
                <c:pt idx="47">
                  <c:v>45580</c:v>
                </c:pt>
                <c:pt idx="48">
                  <c:v>45594</c:v>
                </c:pt>
                <c:pt idx="49">
                  <c:v>45608</c:v>
                </c:pt>
                <c:pt idx="50">
                  <c:v>45622</c:v>
                </c:pt>
                <c:pt idx="51">
                  <c:v>45636</c:v>
                </c:pt>
                <c:pt idx="52">
                  <c:v>45650</c:v>
                </c:pt>
                <c:pt idx="53">
                  <c:v>45664</c:v>
                </c:pt>
                <c:pt idx="54">
                  <c:v>45678</c:v>
                </c:pt>
                <c:pt idx="55">
                  <c:v>45692</c:v>
                </c:pt>
                <c:pt idx="56">
                  <c:v>45706</c:v>
                </c:pt>
                <c:pt idx="57">
                  <c:v>45720</c:v>
                </c:pt>
                <c:pt idx="58">
                  <c:v>45783</c:v>
                </c:pt>
                <c:pt idx="59">
                  <c:v>45748</c:v>
                </c:pt>
                <c:pt idx="60">
                  <c:v>45762</c:v>
                </c:pt>
                <c:pt idx="61">
                  <c:v>45783</c:v>
                </c:pt>
                <c:pt idx="62">
                  <c:v>45790</c:v>
                </c:pt>
                <c:pt idx="63">
                  <c:v>45804</c:v>
                </c:pt>
                <c:pt idx="64">
                  <c:v>45818</c:v>
                </c:pt>
                <c:pt idx="65">
                  <c:v>45832</c:v>
                </c:pt>
                <c:pt idx="66">
                  <c:v>45846</c:v>
                </c:pt>
                <c:pt idx="67">
                  <c:v>45860</c:v>
                </c:pt>
                <c:pt idx="68">
                  <c:v>45874</c:v>
                </c:pt>
                <c:pt idx="69">
                  <c:v>45888</c:v>
                </c:pt>
                <c:pt idx="70">
                  <c:v>45902</c:v>
                </c:pt>
                <c:pt idx="71">
                  <c:v>45916</c:v>
                </c:pt>
                <c:pt idx="72">
                  <c:v>45930</c:v>
                </c:pt>
                <c:pt idx="73">
                  <c:v>45944</c:v>
                </c:pt>
                <c:pt idx="74">
                  <c:v>45958</c:v>
                </c:pt>
                <c:pt idx="75">
                  <c:v>45986</c:v>
                </c:pt>
                <c:pt idx="76">
                  <c:v>46000</c:v>
                </c:pt>
                <c:pt idx="77">
                  <c:v>46021</c:v>
                </c:pt>
                <c:pt idx="78">
                  <c:v>46028</c:v>
                </c:pt>
                <c:pt idx="79">
                  <c:v>46042</c:v>
                </c:pt>
                <c:pt idx="80">
                  <c:v>46056</c:v>
                </c:pt>
                <c:pt idx="81">
                  <c:v>46070</c:v>
                </c:pt>
                <c:pt idx="82">
                  <c:v>46084</c:v>
                </c:pt>
              </c:numCache>
            </c:numRef>
          </c:cat>
          <c:val>
            <c:numRef>
              <c:f>'Rental supply rightmove'!$F$179:$F$261</c:f>
              <c:numCache>
                <c:formatCode>General</c:formatCode>
                <c:ptCount val="83"/>
                <c:pt idx="0">
                  <c:v>7655</c:v>
                </c:pt>
                <c:pt idx="1">
                  <c:v>7401</c:v>
                </c:pt>
                <c:pt idx="2">
                  <c:v>4035</c:v>
                </c:pt>
                <c:pt idx="3">
                  <c:v>6615</c:v>
                </c:pt>
                <c:pt idx="4">
                  <c:v>8245</c:v>
                </c:pt>
                <c:pt idx="5">
                  <c:v>8223</c:v>
                </c:pt>
                <c:pt idx="6">
                  <c:v>8299</c:v>
                </c:pt>
                <c:pt idx="7">
                  <c:v>8805</c:v>
                </c:pt>
                <c:pt idx="8">
                  <c:v>8503</c:v>
                </c:pt>
                <c:pt idx="9">
                  <c:v>8995</c:v>
                </c:pt>
                <c:pt idx="10">
                  <c:v>8378</c:v>
                </c:pt>
                <c:pt idx="11">
                  <c:v>8910</c:v>
                </c:pt>
                <c:pt idx="12">
                  <c:v>10055</c:v>
                </c:pt>
                <c:pt idx="13">
                  <c:v>9804</c:v>
                </c:pt>
                <c:pt idx="14">
                  <c:v>10937</c:v>
                </c:pt>
                <c:pt idx="15">
                  <c:v>11010</c:v>
                </c:pt>
                <c:pt idx="16">
                  <c:v>11479</c:v>
                </c:pt>
                <c:pt idx="17">
                  <c:v>11323</c:v>
                </c:pt>
                <c:pt idx="18">
                  <c:v>11109</c:v>
                </c:pt>
                <c:pt idx="19">
                  <c:v>10633</c:v>
                </c:pt>
                <c:pt idx="20">
                  <c:v>9658</c:v>
                </c:pt>
                <c:pt idx="21">
                  <c:v>10866</c:v>
                </c:pt>
                <c:pt idx="22">
                  <c:v>10720</c:v>
                </c:pt>
                <c:pt idx="23">
                  <c:v>11696</c:v>
                </c:pt>
                <c:pt idx="24">
                  <c:v>11544</c:v>
                </c:pt>
                <c:pt idx="25">
                  <c:v>11912</c:v>
                </c:pt>
                <c:pt idx="26">
                  <c:v>11534</c:v>
                </c:pt>
                <c:pt idx="27">
                  <c:v>10351</c:v>
                </c:pt>
                <c:pt idx="28">
                  <c:v>5608</c:v>
                </c:pt>
                <c:pt idx="29">
                  <c:v>9080</c:v>
                </c:pt>
                <c:pt idx="30">
                  <c:v>12266</c:v>
                </c:pt>
                <c:pt idx="31">
                  <c:v>11730</c:v>
                </c:pt>
                <c:pt idx="32">
                  <c:v>12062</c:v>
                </c:pt>
                <c:pt idx="33">
                  <c:v>12000</c:v>
                </c:pt>
                <c:pt idx="34">
                  <c:v>12177</c:v>
                </c:pt>
                <c:pt idx="35">
                  <c:v>10543</c:v>
                </c:pt>
                <c:pt idx="36">
                  <c:v>12100</c:v>
                </c:pt>
                <c:pt idx="37">
                  <c:v>12323</c:v>
                </c:pt>
                <c:pt idx="38">
                  <c:v>11765</c:v>
                </c:pt>
                <c:pt idx="39">
                  <c:v>13297</c:v>
                </c:pt>
                <c:pt idx="40">
                  <c:v>13694</c:v>
                </c:pt>
                <c:pt idx="41">
                  <c:v>14130</c:v>
                </c:pt>
                <c:pt idx="42">
                  <c:v>13945</c:v>
                </c:pt>
                <c:pt idx="43">
                  <c:v>12260</c:v>
                </c:pt>
                <c:pt idx="44">
                  <c:v>12862</c:v>
                </c:pt>
                <c:pt idx="45">
                  <c:v>12783</c:v>
                </c:pt>
                <c:pt idx="46">
                  <c:v>12374</c:v>
                </c:pt>
                <c:pt idx="47">
                  <c:v>12225</c:v>
                </c:pt>
                <c:pt idx="48">
                  <c:v>12574</c:v>
                </c:pt>
                <c:pt idx="49">
                  <c:v>12617</c:v>
                </c:pt>
                <c:pt idx="50">
                  <c:v>12094</c:v>
                </c:pt>
                <c:pt idx="51">
                  <c:v>10958</c:v>
                </c:pt>
                <c:pt idx="52">
                  <c:v>8373</c:v>
                </c:pt>
                <c:pt idx="53">
                  <c:v>7288</c:v>
                </c:pt>
                <c:pt idx="54">
                  <c:v>9117</c:v>
                </c:pt>
                <c:pt idx="55">
                  <c:v>11524</c:v>
                </c:pt>
                <c:pt idx="56">
                  <c:v>12258</c:v>
                </c:pt>
                <c:pt idx="57">
                  <c:v>11963</c:v>
                </c:pt>
                <c:pt idx="58">
                  <c:v>13024</c:v>
                </c:pt>
                <c:pt idx="59">
                  <c:v>12635</c:v>
                </c:pt>
                <c:pt idx="60">
                  <c:v>13028</c:v>
                </c:pt>
                <c:pt idx="61">
                  <c:v>13036</c:v>
                </c:pt>
                <c:pt idx="62">
                  <c:v>13492</c:v>
                </c:pt>
                <c:pt idx="63">
                  <c:v>13295</c:v>
                </c:pt>
                <c:pt idx="64">
                  <c:v>14623</c:v>
                </c:pt>
                <c:pt idx="65">
                  <c:v>14821</c:v>
                </c:pt>
                <c:pt idx="66">
                  <c:v>14782</c:v>
                </c:pt>
                <c:pt idx="67">
                  <c:v>14601</c:v>
                </c:pt>
                <c:pt idx="68">
                  <c:v>14271</c:v>
                </c:pt>
                <c:pt idx="69">
                  <c:v>13498</c:v>
                </c:pt>
                <c:pt idx="70">
                  <c:v>11983</c:v>
                </c:pt>
                <c:pt idx="71">
                  <c:v>12973</c:v>
                </c:pt>
                <c:pt idx="72">
                  <c:v>12567</c:v>
                </c:pt>
                <c:pt idx="73">
                  <c:v>13088</c:v>
                </c:pt>
                <c:pt idx="74">
                  <c:v>13032</c:v>
                </c:pt>
                <c:pt idx="75">
                  <c:v>11882</c:v>
                </c:pt>
                <c:pt idx="76">
                  <c:v>11174</c:v>
                </c:pt>
                <c:pt idx="77">
                  <c:v>6334</c:v>
                </c:pt>
                <c:pt idx="78">
                  <c:v>6534</c:v>
                </c:pt>
                <c:pt idx="79">
                  <c:v>12465</c:v>
                </c:pt>
                <c:pt idx="80">
                  <c:v>12026</c:v>
                </c:pt>
                <c:pt idx="81">
                  <c:v>11855</c:v>
                </c:pt>
                <c:pt idx="82">
                  <c:v>11269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E9-4889-8849-9927890B97EF}"/>
            </c:ext>
          </c:extLst>
        </c:ser>
        <c:ser>
          <c:idx val="4"/>
          <c:order val="4"/>
          <c:tx>
            <c:strRef>
              <c:f>'Rental supply rightmove'!$G$8</c:f>
              <c:strCache>
                <c:ptCount val="1"/>
                <c:pt idx="0">
                  <c:v>Any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'Rental supply rightmove'!$B$179:$B$261</c:f>
              <c:numCache>
                <c:formatCode>m/d/yy</c:formatCode>
                <c:ptCount val="83"/>
                <c:pt idx="0">
                  <c:v>44894</c:v>
                </c:pt>
                <c:pt idx="1">
                  <c:v>44908</c:v>
                </c:pt>
                <c:pt idx="2">
                  <c:v>44925</c:v>
                </c:pt>
                <c:pt idx="3">
                  <c:v>44936</c:v>
                </c:pt>
                <c:pt idx="4">
                  <c:v>44950</c:v>
                </c:pt>
                <c:pt idx="5">
                  <c:v>44964</c:v>
                </c:pt>
                <c:pt idx="6">
                  <c:v>44978</c:v>
                </c:pt>
                <c:pt idx="7">
                  <c:v>44992</c:v>
                </c:pt>
                <c:pt idx="8">
                  <c:v>45006</c:v>
                </c:pt>
                <c:pt idx="9">
                  <c:v>45020</c:v>
                </c:pt>
                <c:pt idx="10">
                  <c:v>45034</c:v>
                </c:pt>
                <c:pt idx="11">
                  <c:v>45048</c:v>
                </c:pt>
                <c:pt idx="12">
                  <c:v>45062</c:v>
                </c:pt>
                <c:pt idx="13">
                  <c:v>45076</c:v>
                </c:pt>
                <c:pt idx="14">
                  <c:v>45090</c:v>
                </c:pt>
                <c:pt idx="15">
                  <c:v>45104</c:v>
                </c:pt>
                <c:pt idx="16">
                  <c:v>45118</c:v>
                </c:pt>
                <c:pt idx="17">
                  <c:v>45132</c:v>
                </c:pt>
                <c:pt idx="18">
                  <c:v>45146</c:v>
                </c:pt>
                <c:pt idx="19">
                  <c:v>45160</c:v>
                </c:pt>
                <c:pt idx="20">
                  <c:v>45174</c:v>
                </c:pt>
                <c:pt idx="21">
                  <c:v>45188</c:v>
                </c:pt>
                <c:pt idx="22">
                  <c:v>45202</c:v>
                </c:pt>
                <c:pt idx="23">
                  <c:v>45216</c:v>
                </c:pt>
                <c:pt idx="24">
                  <c:v>45230</c:v>
                </c:pt>
                <c:pt idx="25">
                  <c:v>45244</c:v>
                </c:pt>
                <c:pt idx="26">
                  <c:v>45258</c:v>
                </c:pt>
                <c:pt idx="27">
                  <c:v>45273</c:v>
                </c:pt>
                <c:pt idx="28">
                  <c:v>45292</c:v>
                </c:pt>
                <c:pt idx="29">
                  <c:v>45300</c:v>
                </c:pt>
                <c:pt idx="30">
                  <c:v>45314</c:v>
                </c:pt>
                <c:pt idx="31">
                  <c:v>45328</c:v>
                </c:pt>
                <c:pt idx="32">
                  <c:v>45342</c:v>
                </c:pt>
                <c:pt idx="33">
                  <c:v>45356</c:v>
                </c:pt>
                <c:pt idx="34">
                  <c:v>45370</c:v>
                </c:pt>
                <c:pt idx="35">
                  <c:v>45384</c:v>
                </c:pt>
                <c:pt idx="36">
                  <c:v>45398</c:v>
                </c:pt>
                <c:pt idx="37">
                  <c:v>45426</c:v>
                </c:pt>
                <c:pt idx="38">
                  <c:v>45440</c:v>
                </c:pt>
                <c:pt idx="39">
                  <c:v>45454</c:v>
                </c:pt>
                <c:pt idx="40">
                  <c:v>45468</c:v>
                </c:pt>
                <c:pt idx="41">
                  <c:v>45482</c:v>
                </c:pt>
                <c:pt idx="42">
                  <c:v>45496</c:v>
                </c:pt>
                <c:pt idx="43">
                  <c:v>45510</c:v>
                </c:pt>
                <c:pt idx="44">
                  <c:v>45524</c:v>
                </c:pt>
                <c:pt idx="45">
                  <c:v>45552</c:v>
                </c:pt>
                <c:pt idx="46">
                  <c:v>45566</c:v>
                </c:pt>
                <c:pt idx="47">
                  <c:v>45580</c:v>
                </c:pt>
                <c:pt idx="48">
                  <c:v>45594</c:v>
                </c:pt>
                <c:pt idx="49">
                  <c:v>45608</c:v>
                </c:pt>
                <c:pt idx="50">
                  <c:v>45622</c:v>
                </c:pt>
                <c:pt idx="51">
                  <c:v>45636</c:v>
                </c:pt>
                <c:pt idx="52">
                  <c:v>45650</c:v>
                </c:pt>
                <c:pt idx="53">
                  <c:v>45664</c:v>
                </c:pt>
                <c:pt idx="54">
                  <c:v>45678</c:v>
                </c:pt>
                <c:pt idx="55">
                  <c:v>45692</c:v>
                </c:pt>
                <c:pt idx="56">
                  <c:v>45706</c:v>
                </c:pt>
                <c:pt idx="57">
                  <c:v>45720</c:v>
                </c:pt>
                <c:pt idx="58">
                  <c:v>45783</c:v>
                </c:pt>
                <c:pt idx="59">
                  <c:v>45748</c:v>
                </c:pt>
                <c:pt idx="60">
                  <c:v>45762</c:v>
                </c:pt>
                <c:pt idx="61">
                  <c:v>45783</c:v>
                </c:pt>
                <c:pt idx="62">
                  <c:v>45790</c:v>
                </c:pt>
                <c:pt idx="63">
                  <c:v>45804</c:v>
                </c:pt>
                <c:pt idx="64">
                  <c:v>45818</c:v>
                </c:pt>
                <c:pt idx="65">
                  <c:v>45832</c:v>
                </c:pt>
                <c:pt idx="66">
                  <c:v>45846</c:v>
                </c:pt>
                <c:pt idx="67">
                  <c:v>45860</c:v>
                </c:pt>
                <c:pt idx="68">
                  <c:v>45874</c:v>
                </c:pt>
                <c:pt idx="69">
                  <c:v>45888</c:v>
                </c:pt>
                <c:pt idx="70">
                  <c:v>45902</c:v>
                </c:pt>
                <c:pt idx="71">
                  <c:v>45916</c:v>
                </c:pt>
                <c:pt idx="72">
                  <c:v>45930</c:v>
                </c:pt>
                <c:pt idx="73">
                  <c:v>45944</c:v>
                </c:pt>
                <c:pt idx="74">
                  <c:v>45958</c:v>
                </c:pt>
                <c:pt idx="75">
                  <c:v>45986</c:v>
                </c:pt>
                <c:pt idx="76">
                  <c:v>46000</c:v>
                </c:pt>
                <c:pt idx="77">
                  <c:v>46021</c:v>
                </c:pt>
                <c:pt idx="78">
                  <c:v>46028</c:v>
                </c:pt>
                <c:pt idx="79">
                  <c:v>46042</c:v>
                </c:pt>
                <c:pt idx="80">
                  <c:v>46056</c:v>
                </c:pt>
                <c:pt idx="81">
                  <c:v>46070</c:v>
                </c:pt>
                <c:pt idx="82">
                  <c:v>46084</c:v>
                </c:pt>
              </c:numCache>
            </c:numRef>
          </c:cat>
          <c:val>
            <c:numRef>
              <c:f>'Rental supply rightmove'!$G$179:$G$261</c:f>
              <c:numCache>
                <c:formatCode>General</c:formatCode>
                <c:ptCount val="83"/>
                <c:pt idx="0">
                  <c:v>16551</c:v>
                </c:pt>
                <c:pt idx="1">
                  <c:v>17289</c:v>
                </c:pt>
                <c:pt idx="2">
                  <c:v>17140</c:v>
                </c:pt>
                <c:pt idx="3">
                  <c:v>18361</c:v>
                </c:pt>
                <c:pt idx="4">
                  <c:v>18293</c:v>
                </c:pt>
                <c:pt idx="5">
                  <c:v>18546</c:v>
                </c:pt>
                <c:pt idx="6">
                  <c:v>19001</c:v>
                </c:pt>
                <c:pt idx="7">
                  <c:v>19656</c:v>
                </c:pt>
                <c:pt idx="8">
                  <c:v>20039</c:v>
                </c:pt>
                <c:pt idx="9">
                  <c:v>20690</c:v>
                </c:pt>
                <c:pt idx="10">
                  <c:v>21354</c:v>
                </c:pt>
                <c:pt idx="11">
                  <c:v>22202</c:v>
                </c:pt>
                <c:pt idx="12">
                  <c:v>23689</c:v>
                </c:pt>
                <c:pt idx="13">
                  <c:v>24303</c:v>
                </c:pt>
                <c:pt idx="14">
                  <c:v>25092</c:v>
                </c:pt>
                <c:pt idx="15">
                  <c:v>25718</c:v>
                </c:pt>
                <c:pt idx="16">
                  <c:v>26937</c:v>
                </c:pt>
                <c:pt idx="17">
                  <c:v>26588</c:v>
                </c:pt>
                <c:pt idx="18">
                  <c:v>26618</c:v>
                </c:pt>
                <c:pt idx="19">
                  <c:v>26219</c:v>
                </c:pt>
                <c:pt idx="20">
                  <c:v>24970</c:v>
                </c:pt>
                <c:pt idx="21">
                  <c:v>24870</c:v>
                </c:pt>
                <c:pt idx="22">
                  <c:v>24814</c:v>
                </c:pt>
                <c:pt idx="23">
                  <c:v>25543</c:v>
                </c:pt>
                <c:pt idx="24">
                  <c:v>25870</c:v>
                </c:pt>
                <c:pt idx="25">
                  <c:v>26456</c:v>
                </c:pt>
                <c:pt idx="26">
                  <c:v>26689</c:v>
                </c:pt>
                <c:pt idx="27">
                  <c:v>27035</c:v>
                </c:pt>
                <c:pt idx="28">
                  <c:v>26882</c:v>
                </c:pt>
                <c:pt idx="29">
                  <c:v>28223</c:v>
                </c:pt>
                <c:pt idx="30">
                  <c:v>28526</c:v>
                </c:pt>
                <c:pt idx="31">
                  <c:v>28609</c:v>
                </c:pt>
                <c:pt idx="32">
                  <c:v>28819</c:v>
                </c:pt>
                <c:pt idx="33">
                  <c:v>28998</c:v>
                </c:pt>
                <c:pt idx="34">
                  <c:v>29218</c:v>
                </c:pt>
                <c:pt idx="35">
                  <c:v>29003</c:v>
                </c:pt>
                <c:pt idx="36">
                  <c:v>29423</c:v>
                </c:pt>
                <c:pt idx="37">
                  <c:v>30779</c:v>
                </c:pt>
                <c:pt idx="38">
                  <c:v>30517</c:v>
                </c:pt>
                <c:pt idx="39">
                  <c:v>32719</c:v>
                </c:pt>
                <c:pt idx="40">
                  <c:v>33843</c:v>
                </c:pt>
                <c:pt idx="41">
                  <c:v>34153</c:v>
                </c:pt>
                <c:pt idx="42">
                  <c:v>33760</c:v>
                </c:pt>
                <c:pt idx="43">
                  <c:v>32473</c:v>
                </c:pt>
                <c:pt idx="44">
                  <c:v>31966</c:v>
                </c:pt>
                <c:pt idx="45">
                  <c:v>29080</c:v>
                </c:pt>
                <c:pt idx="46">
                  <c:v>28632</c:v>
                </c:pt>
                <c:pt idx="47">
                  <c:v>27193</c:v>
                </c:pt>
                <c:pt idx="48">
                  <c:v>27883</c:v>
                </c:pt>
                <c:pt idx="49">
                  <c:v>28287</c:v>
                </c:pt>
                <c:pt idx="50">
                  <c:v>28525</c:v>
                </c:pt>
                <c:pt idx="51">
                  <c:v>28451</c:v>
                </c:pt>
                <c:pt idx="52">
                  <c:v>27053</c:v>
                </c:pt>
                <c:pt idx="53">
                  <c:v>28503</c:v>
                </c:pt>
                <c:pt idx="54">
                  <c:v>28745</c:v>
                </c:pt>
                <c:pt idx="55">
                  <c:v>28689</c:v>
                </c:pt>
                <c:pt idx="56">
                  <c:v>29447</c:v>
                </c:pt>
                <c:pt idx="57">
                  <c:v>26669</c:v>
                </c:pt>
                <c:pt idx="58">
                  <c:v>30372</c:v>
                </c:pt>
                <c:pt idx="59">
                  <c:v>30670</c:v>
                </c:pt>
                <c:pt idx="60">
                  <c:v>31287</c:v>
                </c:pt>
                <c:pt idx="61">
                  <c:v>32780</c:v>
                </c:pt>
                <c:pt idx="62">
                  <c:v>33300</c:v>
                </c:pt>
                <c:pt idx="63">
                  <c:v>33838</c:v>
                </c:pt>
                <c:pt idx="64">
                  <c:v>34571</c:v>
                </c:pt>
                <c:pt idx="65">
                  <c:v>35701</c:v>
                </c:pt>
                <c:pt idx="66">
                  <c:v>36288</c:v>
                </c:pt>
                <c:pt idx="67">
                  <c:v>36871</c:v>
                </c:pt>
                <c:pt idx="68">
                  <c:v>35252</c:v>
                </c:pt>
                <c:pt idx="69">
                  <c:v>34228</c:v>
                </c:pt>
                <c:pt idx="70">
                  <c:v>31970</c:v>
                </c:pt>
                <c:pt idx="71">
                  <c:v>30312</c:v>
                </c:pt>
                <c:pt idx="72">
                  <c:v>29404</c:v>
                </c:pt>
                <c:pt idx="73">
                  <c:v>29297</c:v>
                </c:pt>
                <c:pt idx="74">
                  <c:v>30147</c:v>
                </c:pt>
                <c:pt idx="75">
                  <c:v>29329</c:v>
                </c:pt>
                <c:pt idx="76">
                  <c:v>29075</c:v>
                </c:pt>
                <c:pt idx="77">
                  <c:v>28394</c:v>
                </c:pt>
                <c:pt idx="78">
                  <c:v>28546</c:v>
                </c:pt>
                <c:pt idx="79">
                  <c:v>28847</c:v>
                </c:pt>
                <c:pt idx="80">
                  <c:v>28795</c:v>
                </c:pt>
                <c:pt idx="81">
                  <c:v>29099</c:v>
                </c:pt>
                <c:pt idx="82">
                  <c:v>28684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E9-4889-8849-9927890B9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117624"/>
        <c:axId val="16831151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'Rental supply rightmove'!$C$8</c15:sqref>
                        </c15:formulaRef>
                      </c:ext>
                    </c:extLst>
                    <c:strCache>
                      <c:ptCount val="1"/>
                      <c:pt idx="0">
                        <c:v>Day of week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'Rental supply rightmove'!$B$179:$B$261</c15:sqref>
                        </c15:formulaRef>
                      </c:ext>
                    </c:extLst>
                    <c:numCache>
                      <c:formatCode>m/d/yy</c:formatCode>
                      <c:ptCount val="83"/>
                      <c:pt idx="0">
                        <c:v>44894</c:v>
                      </c:pt>
                      <c:pt idx="1">
                        <c:v>44908</c:v>
                      </c:pt>
                      <c:pt idx="2">
                        <c:v>44925</c:v>
                      </c:pt>
                      <c:pt idx="3">
                        <c:v>44936</c:v>
                      </c:pt>
                      <c:pt idx="4">
                        <c:v>44950</c:v>
                      </c:pt>
                      <c:pt idx="5">
                        <c:v>44964</c:v>
                      </c:pt>
                      <c:pt idx="6">
                        <c:v>44978</c:v>
                      </c:pt>
                      <c:pt idx="7">
                        <c:v>44992</c:v>
                      </c:pt>
                      <c:pt idx="8">
                        <c:v>45006</c:v>
                      </c:pt>
                      <c:pt idx="9">
                        <c:v>45020</c:v>
                      </c:pt>
                      <c:pt idx="10">
                        <c:v>45034</c:v>
                      </c:pt>
                      <c:pt idx="11">
                        <c:v>45048</c:v>
                      </c:pt>
                      <c:pt idx="12">
                        <c:v>45062</c:v>
                      </c:pt>
                      <c:pt idx="13">
                        <c:v>45076</c:v>
                      </c:pt>
                      <c:pt idx="14">
                        <c:v>45090</c:v>
                      </c:pt>
                      <c:pt idx="15">
                        <c:v>45104</c:v>
                      </c:pt>
                      <c:pt idx="16">
                        <c:v>45118</c:v>
                      </c:pt>
                      <c:pt idx="17">
                        <c:v>45132</c:v>
                      </c:pt>
                      <c:pt idx="18">
                        <c:v>45146</c:v>
                      </c:pt>
                      <c:pt idx="19">
                        <c:v>45160</c:v>
                      </c:pt>
                      <c:pt idx="20">
                        <c:v>45174</c:v>
                      </c:pt>
                      <c:pt idx="21">
                        <c:v>45188</c:v>
                      </c:pt>
                      <c:pt idx="22">
                        <c:v>45202</c:v>
                      </c:pt>
                      <c:pt idx="23">
                        <c:v>45216</c:v>
                      </c:pt>
                      <c:pt idx="24">
                        <c:v>45230</c:v>
                      </c:pt>
                      <c:pt idx="25">
                        <c:v>45244</c:v>
                      </c:pt>
                      <c:pt idx="26">
                        <c:v>45258</c:v>
                      </c:pt>
                      <c:pt idx="27">
                        <c:v>45273</c:v>
                      </c:pt>
                      <c:pt idx="28">
                        <c:v>45292</c:v>
                      </c:pt>
                      <c:pt idx="29">
                        <c:v>45300</c:v>
                      </c:pt>
                      <c:pt idx="30">
                        <c:v>45314</c:v>
                      </c:pt>
                      <c:pt idx="31">
                        <c:v>45328</c:v>
                      </c:pt>
                      <c:pt idx="32">
                        <c:v>45342</c:v>
                      </c:pt>
                      <c:pt idx="33">
                        <c:v>45356</c:v>
                      </c:pt>
                      <c:pt idx="34">
                        <c:v>45370</c:v>
                      </c:pt>
                      <c:pt idx="35">
                        <c:v>45384</c:v>
                      </c:pt>
                      <c:pt idx="36">
                        <c:v>45398</c:v>
                      </c:pt>
                      <c:pt idx="37">
                        <c:v>45426</c:v>
                      </c:pt>
                      <c:pt idx="38">
                        <c:v>45440</c:v>
                      </c:pt>
                      <c:pt idx="39">
                        <c:v>45454</c:v>
                      </c:pt>
                      <c:pt idx="40">
                        <c:v>45468</c:v>
                      </c:pt>
                      <c:pt idx="41">
                        <c:v>45482</c:v>
                      </c:pt>
                      <c:pt idx="42">
                        <c:v>45496</c:v>
                      </c:pt>
                      <c:pt idx="43">
                        <c:v>45510</c:v>
                      </c:pt>
                      <c:pt idx="44">
                        <c:v>45524</c:v>
                      </c:pt>
                      <c:pt idx="45">
                        <c:v>45552</c:v>
                      </c:pt>
                      <c:pt idx="46">
                        <c:v>45566</c:v>
                      </c:pt>
                      <c:pt idx="47">
                        <c:v>45580</c:v>
                      </c:pt>
                      <c:pt idx="48">
                        <c:v>45594</c:v>
                      </c:pt>
                      <c:pt idx="49">
                        <c:v>45608</c:v>
                      </c:pt>
                      <c:pt idx="50">
                        <c:v>45622</c:v>
                      </c:pt>
                      <c:pt idx="51">
                        <c:v>45636</c:v>
                      </c:pt>
                      <c:pt idx="52">
                        <c:v>45650</c:v>
                      </c:pt>
                      <c:pt idx="53">
                        <c:v>45664</c:v>
                      </c:pt>
                      <c:pt idx="54">
                        <c:v>45678</c:v>
                      </c:pt>
                      <c:pt idx="55">
                        <c:v>45692</c:v>
                      </c:pt>
                      <c:pt idx="56">
                        <c:v>45706</c:v>
                      </c:pt>
                      <c:pt idx="57">
                        <c:v>45720</c:v>
                      </c:pt>
                      <c:pt idx="58">
                        <c:v>45783</c:v>
                      </c:pt>
                      <c:pt idx="59">
                        <c:v>45748</c:v>
                      </c:pt>
                      <c:pt idx="60">
                        <c:v>45762</c:v>
                      </c:pt>
                      <c:pt idx="61">
                        <c:v>45783</c:v>
                      </c:pt>
                      <c:pt idx="62">
                        <c:v>45790</c:v>
                      </c:pt>
                      <c:pt idx="63">
                        <c:v>45804</c:v>
                      </c:pt>
                      <c:pt idx="64">
                        <c:v>45818</c:v>
                      </c:pt>
                      <c:pt idx="65">
                        <c:v>45832</c:v>
                      </c:pt>
                      <c:pt idx="66">
                        <c:v>45846</c:v>
                      </c:pt>
                      <c:pt idx="67">
                        <c:v>45860</c:v>
                      </c:pt>
                      <c:pt idx="68">
                        <c:v>45874</c:v>
                      </c:pt>
                      <c:pt idx="69">
                        <c:v>45888</c:v>
                      </c:pt>
                      <c:pt idx="70">
                        <c:v>45902</c:v>
                      </c:pt>
                      <c:pt idx="71">
                        <c:v>45916</c:v>
                      </c:pt>
                      <c:pt idx="72">
                        <c:v>45930</c:v>
                      </c:pt>
                      <c:pt idx="73">
                        <c:v>45944</c:v>
                      </c:pt>
                      <c:pt idx="74">
                        <c:v>45958</c:v>
                      </c:pt>
                      <c:pt idx="75">
                        <c:v>45986</c:v>
                      </c:pt>
                      <c:pt idx="76">
                        <c:v>46000</c:v>
                      </c:pt>
                      <c:pt idx="77">
                        <c:v>46021</c:v>
                      </c:pt>
                      <c:pt idx="78">
                        <c:v>46028</c:v>
                      </c:pt>
                      <c:pt idx="79">
                        <c:v>46042</c:v>
                      </c:pt>
                      <c:pt idx="80">
                        <c:v>46056</c:v>
                      </c:pt>
                      <c:pt idx="81">
                        <c:v>46070</c:v>
                      </c:pt>
                      <c:pt idx="82">
                        <c:v>46084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'Rental supply rightmove'!$C$179:$C$261</c15:sqref>
                        </c15:formulaRef>
                      </c:ext>
                    </c:extLst>
                    <c:numCache>
                      <c:formatCode>General</c:formatCode>
                      <c:ptCount val="83"/>
                      <c:pt idx="0">
                        <c:v>2</c:v>
                      </c:pt>
                      <c:pt idx="1">
                        <c:v>2</c:v>
                      </c:pt>
                      <c:pt idx="2">
                        <c:v>5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3</c:v>
                      </c:pt>
                      <c:pt idx="28">
                        <c:v>1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  <c:pt idx="37">
                        <c:v>2</c:v>
                      </c:pt>
                      <c:pt idx="38">
                        <c:v>2</c:v>
                      </c:pt>
                      <c:pt idx="39">
                        <c:v>2</c:v>
                      </c:pt>
                      <c:pt idx="40">
                        <c:v>2</c:v>
                      </c:pt>
                      <c:pt idx="41">
                        <c:v>2</c:v>
                      </c:pt>
                      <c:pt idx="42">
                        <c:v>2</c:v>
                      </c:pt>
                      <c:pt idx="43">
                        <c:v>2</c:v>
                      </c:pt>
                      <c:pt idx="44">
                        <c:v>2</c:v>
                      </c:pt>
                      <c:pt idx="45">
                        <c:v>2</c:v>
                      </c:pt>
                      <c:pt idx="46">
                        <c:v>2</c:v>
                      </c:pt>
                      <c:pt idx="47">
                        <c:v>2</c:v>
                      </c:pt>
                      <c:pt idx="48">
                        <c:v>2</c:v>
                      </c:pt>
                      <c:pt idx="49">
                        <c:v>2</c:v>
                      </c:pt>
                      <c:pt idx="50">
                        <c:v>2</c:v>
                      </c:pt>
                      <c:pt idx="51">
                        <c:v>2</c:v>
                      </c:pt>
                      <c:pt idx="52">
                        <c:v>2</c:v>
                      </c:pt>
                      <c:pt idx="53">
                        <c:v>2</c:v>
                      </c:pt>
                      <c:pt idx="54">
                        <c:v>2</c:v>
                      </c:pt>
                      <c:pt idx="55">
                        <c:v>2</c:v>
                      </c:pt>
                      <c:pt idx="56">
                        <c:v>2</c:v>
                      </c:pt>
                      <c:pt idx="57">
                        <c:v>2</c:v>
                      </c:pt>
                      <c:pt idx="58">
                        <c:v>2</c:v>
                      </c:pt>
                      <c:pt idx="59">
                        <c:v>2</c:v>
                      </c:pt>
                      <c:pt idx="60">
                        <c:v>2</c:v>
                      </c:pt>
                      <c:pt idx="61">
                        <c:v>2</c:v>
                      </c:pt>
                      <c:pt idx="62">
                        <c:v>2</c:v>
                      </c:pt>
                      <c:pt idx="63">
                        <c:v>2</c:v>
                      </c:pt>
                      <c:pt idx="64">
                        <c:v>2</c:v>
                      </c:pt>
                      <c:pt idx="65">
                        <c:v>2</c:v>
                      </c:pt>
                      <c:pt idx="66">
                        <c:v>2</c:v>
                      </c:pt>
                      <c:pt idx="67">
                        <c:v>2</c:v>
                      </c:pt>
                      <c:pt idx="68">
                        <c:v>2</c:v>
                      </c:pt>
                      <c:pt idx="69">
                        <c:v>2</c:v>
                      </c:pt>
                      <c:pt idx="70">
                        <c:v>2</c:v>
                      </c:pt>
                      <c:pt idx="71">
                        <c:v>2</c:v>
                      </c:pt>
                      <c:pt idx="72">
                        <c:v>2</c:v>
                      </c:pt>
                      <c:pt idx="73">
                        <c:v>2</c:v>
                      </c:pt>
                      <c:pt idx="74">
                        <c:v>2</c:v>
                      </c:pt>
                      <c:pt idx="75">
                        <c:v>2</c:v>
                      </c:pt>
                      <c:pt idx="76">
                        <c:v>2</c:v>
                      </c:pt>
                      <c:pt idx="77">
                        <c:v>2</c:v>
                      </c:pt>
                      <c:pt idx="78">
                        <c:v>2</c:v>
                      </c:pt>
                      <c:pt idx="79">
                        <c:v>2</c:v>
                      </c:pt>
                      <c:pt idx="80">
                        <c:v>2</c:v>
                      </c:pt>
                      <c:pt idx="81">
                        <c:v>2</c:v>
                      </c:pt>
                      <c:pt idx="82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9E9-4889-8849-9927890B97E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'Rental supply rightmove'!$D$8</c15:sqref>
                        </c15:formulaRef>
                      </c:ext>
                    </c:extLst>
                    <c:strCache>
                      <c:ptCount val="1"/>
                      <c:pt idx="0">
                        <c:v>24 hours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'Rental supply rightmove'!$B$179:$B$261</c15:sqref>
                        </c15:formulaRef>
                      </c:ext>
                    </c:extLst>
                    <c:numCache>
                      <c:formatCode>m/d/yy</c:formatCode>
                      <c:ptCount val="83"/>
                      <c:pt idx="0">
                        <c:v>44894</c:v>
                      </c:pt>
                      <c:pt idx="1">
                        <c:v>44908</c:v>
                      </c:pt>
                      <c:pt idx="2">
                        <c:v>44925</c:v>
                      </c:pt>
                      <c:pt idx="3">
                        <c:v>44936</c:v>
                      </c:pt>
                      <c:pt idx="4">
                        <c:v>44950</c:v>
                      </c:pt>
                      <c:pt idx="5">
                        <c:v>44964</c:v>
                      </c:pt>
                      <c:pt idx="6">
                        <c:v>44978</c:v>
                      </c:pt>
                      <c:pt idx="7">
                        <c:v>44992</c:v>
                      </c:pt>
                      <c:pt idx="8">
                        <c:v>45006</c:v>
                      </c:pt>
                      <c:pt idx="9">
                        <c:v>45020</c:v>
                      </c:pt>
                      <c:pt idx="10">
                        <c:v>45034</c:v>
                      </c:pt>
                      <c:pt idx="11">
                        <c:v>45048</c:v>
                      </c:pt>
                      <c:pt idx="12">
                        <c:v>45062</c:v>
                      </c:pt>
                      <c:pt idx="13">
                        <c:v>45076</c:v>
                      </c:pt>
                      <c:pt idx="14">
                        <c:v>45090</c:v>
                      </c:pt>
                      <c:pt idx="15">
                        <c:v>45104</c:v>
                      </c:pt>
                      <c:pt idx="16">
                        <c:v>45118</c:v>
                      </c:pt>
                      <c:pt idx="17">
                        <c:v>45132</c:v>
                      </c:pt>
                      <c:pt idx="18">
                        <c:v>45146</c:v>
                      </c:pt>
                      <c:pt idx="19">
                        <c:v>45160</c:v>
                      </c:pt>
                      <c:pt idx="20">
                        <c:v>45174</c:v>
                      </c:pt>
                      <c:pt idx="21">
                        <c:v>45188</c:v>
                      </c:pt>
                      <c:pt idx="22">
                        <c:v>45202</c:v>
                      </c:pt>
                      <c:pt idx="23">
                        <c:v>45216</c:v>
                      </c:pt>
                      <c:pt idx="24">
                        <c:v>45230</c:v>
                      </c:pt>
                      <c:pt idx="25">
                        <c:v>45244</c:v>
                      </c:pt>
                      <c:pt idx="26">
                        <c:v>45258</c:v>
                      </c:pt>
                      <c:pt idx="27">
                        <c:v>45273</c:v>
                      </c:pt>
                      <c:pt idx="28">
                        <c:v>45292</c:v>
                      </c:pt>
                      <c:pt idx="29">
                        <c:v>45300</c:v>
                      </c:pt>
                      <c:pt idx="30">
                        <c:v>45314</c:v>
                      </c:pt>
                      <c:pt idx="31">
                        <c:v>45328</c:v>
                      </c:pt>
                      <c:pt idx="32">
                        <c:v>45342</c:v>
                      </c:pt>
                      <c:pt idx="33">
                        <c:v>45356</c:v>
                      </c:pt>
                      <c:pt idx="34">
                        <c:v>45370</c:v>
                      </c:pt>
                      <c:pt idx="35">
                        <c:v>45384</c:v>
                      </c:pt>
                      <c:pt idx="36">
                        <c:v>45398</c:v>
                      </c:pt>
                      <c:pt idx="37">
                        <c:v>45426</c:v>
                      </c:pt>
                      <c:pt idx="38">
                        <c:v>45440</c:v>
                      </c:pt>
                      <c:pt idx="39">
                        <c:v>45454</c:v>
                      </c:pt>
                      <c:pt idx="40">
                        <c:v>45468</c:v>
                      </c:pt>
                      <c:pt idx="41">
                        <c:v>45482</c:v>
                      </c:pt>
                      <c:pt idx="42">
                        <c:v>45496</c:v>
                      </c:pt>
                      <c:pt idx="43">
                        <c:v>45510</c:v>
                      </c:pt>
                      <c:pt idx="44">
                        <c:v>45524</c:v>
                      </c:pt>
                      <c:pt idx="45">
                        <c:v>45552</c:v>
                      </c:pt>
                      <c:pt idx="46">
                        <c:v>45566</c:v>
                      </c:pt>
                      <c:pt idx="47">
                        <c:v>45580</c:v>
                      </c:pt>
                      <c:pt idx="48">
                        <c:v>45594</c:v>
                      </c:pt>
                      <c:pt idx="49">
                        <c:v>45608</c:v>
                      </c:pt>
                      <c:pt idx="50">
                        <c:v>45622</c:v>
                      </c:pt>
                      <c:pt idx="51">
                        <c:v>45636</c:v>
                      </c:pt>
                      <c:pt idx="52">
                        <c:v>45650</c:v>
                      </c:pt>
                      <c:pt idx="53">
                        <c:v>45664</c:v>
                      </c:pt>
                      <c:pt idx="54">
                        <c:v>45678</c:v>
                      </c:pt>
                      <c:pt idx="55">
                        <c:v>45692</c:v>
                      </c:pt>
                      <c:pt idx="56">
                        <c:v>45706</c:v>
                      </c:pt>
                      <c:pt idx="57">
                        <c:v>45720</c:v>
                      </c:pt>
                      <c:pt idx="58">
                        <c:v>45783</c:v>
                      </c:pt>
                      <c:pt idx="59">
                        <c:v>45748</c:v>
                      </c:pt>
                      <c:pt idx="60">
                        <c:v>45762</c:v>
                      </c:pt>
                      <c:pt idx="61">
                        <c:v>45783</c:v>
                      </c:pt>
                      <c:pt idx="62">
                        <c:v>45790</c:v>
                      </c:pt>
                      <c:pt idx="63">
                        <c:v>45804</c:v>
                      </c:pt>
                      <c:pt idx="64">
                        <c:v>45818</c:v>
                      </c:pt>
                      <c:pt idx="65">
                        <c:v>45832</c:v>
                      </c:pt>
                      <c:pt idx="66">
                        <c:v>45846</c:v>
                      </c:pt>
                      <c:pt idx="67">
                        <c:v>45860</c:v>
                      </c:pt>
                      <c:pt idx="68">
                        <c:v>45874</c:v>
                      </c:pt>
                      <c:pt idx="69">
                        <c:v>45888</c:v>
                      </c:pt>
                      <c:pt idx="70">
                        <c:v>45902</c:v>
                      </c:pt>
                      <c:pt idx="71">
                        <c:v>45916</c:v>
                      </c:pt>
                      <c:pt idx="72">
                        <c:v>45930</c:v>
                      </c:pt>
                      <c:pt idx="73">
                        <c:v>45944</c:v>
                      </c:pt>
                      <c:pt idx="74">
                        <c:v>45958</c:v>
                      </c:pt>
                      <c:pt idx="75">
                        <c:v>45986</c:v>
                      </c:pt>
                      <c:pt idx="76">
                        <c:v>46000</c:v>
                      </c:pt>
                      <c:pt idx="77">
                        <c:v>46021</c:v>
                      </c:pt>
                      <c:pt idx="78">
                        <c:v>46028</c:v>
                      </c:pt>
                      <c:pt idx="79">
                        <c:v>46042</c:v>
                      </c:pt>
                      <c:pt idx="80">
                        <c:v>46056</c:v>
                      </c:pt>
                      <c:pt idx="81">
                        <c:v>46070</c:v>
                      </c:pt>
                      <c:pt idx="82">
                        <c:v>46084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'Rental supply rightmove'!$D$179:$D$261</c15:sqref>
                        </c15:formulaRef>
                      </c:ext>
                    </c:extLst>
                    <c:numCache>
                      <c:formatCode>General</c:formatCode>
                      <c:ptCount val="83"/>
                      <c:pt idx="0">
                        <c:v>1179</c:v>
                      </c:pt>
                      <c:pt idx="1">
                        <c:v>873</c:v>
                      </c:pt>
                      <c:pt idx="2">
                        <c:v>311</c:v>
                      </c:pt>
                      <c:pt idx="3">
                        <c:v>1430</c:v>
                      </c:pt>
                      <c:pt idx="4">
                        <c:v>1222</c:v>
                      </c:pt>
                      <c:pt idx="5">
                        <c:v>1431</c:v>
                      </c:pt>
                      <c:pt idx="6">
                        <c:v>1233</c:v>
                      </c:pt>
                      <c:pt idx="7">
                        <c:v>1412</c:v>
                      </c:pt>
                      <c:pt idx="8">
                        <c:v>1281</c:v>
                      </c:pt>
                      <c:pt idx="9">
                        <c:v>1375</c:v>
                      </c:pt>
                      <c:pt idx="10">
                        <c:v>1433</c:v>
                      </c:pt>
                      <c:pt idx="11">
                        <c:v>268</c:v>
                      </c:pt>
                      <c:pt idx="12">
                        <c:v>1533</c:v>
                      </c:pt>
                      <c:pt idx="13">
                        <c:v>1230</c:v>
                      </c:pt>
                      <c:pt idx="14">
                        <c:v>1645</c:v>
                      </c:pt>
                      <c:pt idx="15">
                        <c:v>1708</c:v>
                      </c:pt>
                      <c:pt idx="16">
                        <c:v>1714</c:v>
                      </c:pt>
                      <c:pt idx="17">
                        <c:v>1565</c:v>
                      </c:pt>
                      <c:pt idx="18">
                        <c:v>1767</c:v>
                      </c:pt>
                      <c:pt idx="19">
                        <c:v>1645</c:v>
                      </c:pt>
                      <c:pt idx="20">
                        <c:v>1461</c:v>
                      </c:pt>
                      <c:pt idx="21">
                        <c:v>1613</c:v>
                      </c:pt>
                      <c:pt idx="22">
                        <c:v>1681</c:v>
                      </c:pt>
                      <c:pt idx="23">
                        <c:v>1759</c:v>
                      </c:pt>
                      <c:pt idx="24">
                        <c:v>1747</c:v>
                      </c:pt>
                      <c:pt idx="25">
                        <c:v>1705</c:v>
                      </c:pt>
                      <c:pt idx="26">
                        <c:v>1535</c:v>
                      </c:pt>
                      <c:pt idx="27">
                        <c:v>1070</c:v>
                      </c:pt>
                      <c:pt idx="28">
                        <c:v>104</c:v>
                      </c:pt>
                      <c:pt idx="29">
                        <c:v>1951</c:v>
                      </c:pt>
                      <c:pt idx="30">
                        <c:v>1643</c:v>
                      </c:pt>
                      <c:pt idx="31">
                        <c:v>1749</c:v>
                      </c:pt>
                      <c:pt idx="32">
                        <c:v>1826</c:v>
                      </c:pt>
                      <c:pt idx="33">
                        <c:v>1658</c:v>
                      </c:pt>
                      <c:pt idx="34">
                        <c:v>1742</c:v>
                      </c:pt>
                      <c:pt idx="35">
                        <c:v>577</c:v>
                      </c:pt>
                      <c:pt idx="36">
                        <c:v>1738</c:v>
                      </c:pt>
                      <c:pt idx="37">
                        <c:v>1921</c:v>
                      </c:pt>
                      <c:pt idx="38">
                        <c:v>325</c:v>
                      </c:pt>
                      <c:pt idx="39">
                        <c:v>1805</c:v>
                      </c:pt>
                      <c:pt idx="40">
                        <c:v>1847</c:v>
                      </c:pt>
                      <c:pt idx="41">
                        <c:v>2170</c:v>
                      </c:pt>
                      <c:pt idx="42">
                        <c:v>2003</c:v>
                      </c:pt>
                      <c:pt idx="43">
                        <c:v>1578</c:v>
                      </c:pt>
                      <c:pt idx="44">
                        <c:v>1744</c:v>
                      </c:pt>
                      <c:pt idx="45">
                        <c:v>1861</c:v>
                      </c:pt>
                      <c:pt idx="46">
                        <c:v>1728</c:v>
                      </c:pt>
                      <c:pt idx="47">
                        <c:v>1710</c:v>
                      </c:pt>
                      <c:pt idx="48">
                        <c:v>1853</c:v>
                      </c:pt>
                      <c:pt idx="49">
                        <c:v>1763</c:v>
                      </c:pt>
                      <c:pt idx="50">
                        <c:v>1478</c:v>
                      </c:pt>
                      <c:pt idx="51">
                        <c:v>1462</c:v>
                      </c:pt>
                      <c:pt idx="52">
                        <c:v>911</c:v>
                      </c:pt>
                      <c:pt idx="53">
                        <c:v>2147</c:v>
                      </c:pt>
                      <c:pt idx="54">
                        <c:v>906</c:v>
                      </c:pt>
                      <c:pt idx="55">
                        <c:v>1783</c:v>
                      </c:pt>
                      <c:pt idx="56">
                        <c:v>1783</c:v>
                      </c:pt>
                      <c:pt idx="57">
                        <c:v>1863</c:v>
                      </c:pt>
                      <c:pt idx="58">
                        <c:v>1782</c:v>
                      </c:pt>
                      <c:pt idx="59">
                        <c:v>1825</c:v>
                      </c:pt>
                      <c:pt idx="60">
                        <c:v>1795</c:v>
                      </c:pt>
                      <c:pt idx="61">
                        <c:v>1983</c:v>
                      </c:pt>
                      <c:pt idx="62">
                        <c:v>2068</c:v>
                      </c:pt>
                      <c:pt idx="63">
                        <c:v>474</c:v>
                      </c:pt>
                      <c:pt idx="64">
                        <c:v>2062</c:v>
                      </c:pt>
                      <c:pt idx="65">
                        <c:v>2018</c:v>
                      </c:pt>
                      <c:pt idx="66">
                        <c:v>2123</c:v>
                      </c:pt>
                      <c:pt idx="67">
                        <c:v>1990</c:v>
                      </c:pt>
                      <c:pt idx="68">
                        <c:v>1968</c:v>
                      </c:pt>
                      <c:pt idx="69">
                        <c:v>2073</c:v>
                      </c:pt>
                      <c:pt idx="70">
                        <c:v>1940</c:v>
                      </c:pt>
                      <c:pt idx="71">
                        <c:v>1850</c:v>
                      </c:pt>
                      <c:pt idx="72">
                        <c:v>1828</c:v>
                      </c:pt>
                      <c:pt idx="73">
                        <c:v>1978</c:v>
                      </c:pt>
                      <c:pt idx="74">
                        <c:v>1810</c:v>
                      </c:pt>
                      <c:pt idx="75">
                        <c:v>1680</c:v>
                      </c:pt>
                      <c:pt idx="76">
                        <c:v>1628</c:v>
                      </c:pt>
                      <c:pt idx="77">
                        <c:v>378</c:v>
                      </c:pt>
                      <c:pt idx="78">
                        <c:v>2163</c:v>
                      </c:pt>
                      <c:pt idx="79">
                        <c:v>1840</c:v>
                      </c:pt>
                      <c:pt idx="80">
                        <c:v>1888</c:v>
                      </c:pt>
                      <c:pt idx="81">
                        <c:v>1761</c:v>
                      </c:pt>
                      <c:pt idx="82">
                        <c:v>1782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9E9-4889-8849-9927890B97E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'Rental supply rightmove'!$E$8</c15:sqref>
                        </c15:formulaRef>
                      </c:ext>
                    </c:extLst>
                    <c:strCache>
                      <c:ptCount val="1"/>
                      <c:pt idx="0">
                        <c:v>7 days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'Rental supply rightmove'!$B$179:$B$261</c15:sqref>
                        </c15:formulaRef>
                      </c:ext>
                    </c:extLst>
                    <c:numCache>
                      <c:formatCode>m/d/yy</c:formatCode>
                      <c:ptCount val="83"/>
                      <c:pt idx="0">
                        <c:v>44894</c:v>
                      </c:pt>
                      <c:pt idx="1">
                        <c:v>44908</c:v>
                      </c:pt>
                      <c:pt idx="2">
                        <c:v>44925</c:v>
                      </c:pt>
                      <c:pt idx="3">
                        <c:v>44936</c:v>
                      </c:pt>
                      <c:pt idx="4">
                        <c:v>44950</c:v>
                      </c:pt>
                      <c:pt idx="5">
                        <c:v>44964</c:v>
                      </c:pt>
                      <c:pt idx="6">
                        <c:v>44978</c:v>
                      </c:pt>
                      <c:pt idx="7">
                        <c:v>44992</c:v>
                      </c:pt>
                      <c:pt idx="8">
                        <c:v>45006</c:v>
                      </c:pt>
                      <c:pt idx="9">
                        <c:v>45020</c:v>
                      </c:pt>
                      <c:pt idx="10">
                        <c:v>45034</c:v>
                      </c:pt>
                      <c:pt idx="11">
                        <c:v>45048</c:v>
                      </c:pt>
                      <c:pt idx="12">
                        <c:v>45062</c:v>
                      </c:pt>
                      <c:pt idx="13">
                        <c:v>45076</c:v>
                      </c:pt>
                      <c:pt idx="14">
                        <c:v>45090</c:v>
                      </c:pt>
                      <c:pt idx="15">
                        <c:v>45104</c:v>
                      </c:pt>
                      <c:pt idx="16">
                        <c:v>45118</c:v>
                      </c:pt>
                      <c:pt idx="17">
                        <c:v>45132</c:v>
                      </c:pt>
                      <c:pt idx="18">
                        <c:v>45146</c:v>
                      </c:pt>
                      <c:pt idx="19">
                        <c:v>45160</c:v>
                      </c:pt>
                      <c:pt idx="20">
                        <c:v>45174</c:v>
                      </c:pt>
                      <c:pt idx="21">
                        <c:v>45188</c:v>
                      </c:pt>
                      <c:pt idx="22">
                        <c:v>45202</c:v>
                      </c:pt>
                      <c:pt idx="23">
                        <c:v>45216</c:v>
                      </c:pt>
                      <c:pt idx="24">
                        <c:v>45230</c:v>
                      </c:pt>
                      <c:pt idx="25">
                        <c:v>45244</c:v>
                      </c:pt>
                      <c:pt idx="26">
                        <c:v>45258</c:v>
                      </c:pt>
                      <c:pt idx="27">
                        <c:v>45273</c:v>
                      </c:pt>
                      <c:pt idx="28">
                        <c:v>45292</c:v>
                      </c:pt>
                      <c:pt idx="29">
                        <c:v>45300</c:v>
                      </c:pt>
                      <c:pt idx="30">
                        <c:v>45314</c:v>
                      </c:pt>
                      <c:pt idx="31">
                        <c:v>45328</c:v>
                      </c:pt>
                      <c:pt idx="32">
                        <c:v>45342</c:v>
                      </c:pt>
                      <c:pt idx="33">
                        <c:v>45356</c:v>
                      </c:pt>
                      <c:pt idx="34">
                        <c:v>45370</c:v>
                      </c:pt>
                      <c:pt idx="35">
                        <c:v>45384</c:v>
                      </c:pt>
                      <c:pt idx="36">
                        <c:v>45398</c:v>
                      </c:pt>
                      <c:pt idx="37">
                        <c:v>45426</c:v>
                      </c:pt>
                      <c:pt idx="38">
                        <c:v>45440</c:v>
                      </c:pt>
                      <c:pt idx="39">
                        <c:v>45454</c:v>
                      </c:pt>
                      <c:pt idx="40">
                        <c:v>45468</c:v>
                      </c:pt>
                      <c:pt idx="41">
                        <c:v>45482</c:v>
                      </c:pt>
                      <c:pt idx="42">
                        <c:v>45496</c:v>
                      </c:pt>
                      <c:pt idx="43">
                        <c:v>45510</c:v>
                      </c:pt>
                      <c:pt idx="44">
                        <c:v>45524</c:v>
                      </c:pt>
                      <c:pt idx="45">
                        <c:v>45552</c:v>
                      </c:pt>
                      <c:pt idx="46">
                        <c:v>45566</c:v>
                      </c:pt>
                      <c:pt idx="47">
                        <c:v>45580</c:v>
                      </c:pt>
                      <c:pt idx="48">
                        <c:v>45594</c:v>
                      </c:pt>
                      <c:pt idx="49">
                        <c:v>45608</c:v>
                      </c:pt>
                      <c:pt idx="50">
                        <c:v>45622</c:v>
                      </c:pt>
                      <c:pt idx="51">
                        <c:v>45636</c:v>
                      </c:pt>
                      <c:pt idx="52">
                        <c:v>45650</c:v>
                      </c:pt>
                      <c:pt idx="53">
                        <c:v>45664</c:v>
                      </c:pt>
                      <c:pt idx="54">
                        <c:v>45678</c:v>
                      </c:pt>
                      <c:pt idx="55">
                        <c:v>45692</c:v>
                      </c:pt>
                      <c:pt idx="56">
                        <c:v>45706</c:v>
                      </c:pt>
                      <c:pt idx="57">
                        <c:v>45720</c:v>
                      </c:pt>
                      <c:pt idx="58">
                        <c:v>45783</c:v>
                      </c:pt>
                      <c:pt idx="59">
                        <c:v>45748</c:v>
                      </c:pt>
                      <c:pt idx="60">
                        <c:v>45762</c:v>
                      </c:pt>
                      <c:pt idx="61">
                        <c:v>45783</c:v>
                      </c:pt>
                      <c:pt idx="62">
                        <c:v>45790</c:v>
                      </c:pt>
                      <c:pt idx="63">
                        <c:v>45804</c:v>
                      </c:pt>
                      <c:pt idx="64">
                        <c:v>45818</c:v>
                      </c:pt>
                      <c:pt idx="65">
                        <c:v>45832</c:v>
                      </c:pt>
                      <c:pt idx="66">
                        <c:v>45846</c:v>
                      </c:pt>
                      <c:pt idx="67">
                        <c:v>45860</c:v>
                      </c:pt>
                      <c:pt idx="68">
                        <c:v>45874</c:v>
                      </c:pt>
                      <c:pt idx="69">
                        <c:v>45888</c:v>
                      </c:pt>
                      <c:pt idx="70">
                        <c:v>45902</c:v>
                      </c:pt>
                      <c:pt idx="71">
                        <c:v>45916</c:v>
                      </c:pt>
                      <c:pt idx="72">
                        <c:v>45930</c:v>
                      </c:pt>
                      <c:pt idx="73">
                        <c:v>45944</c:v>
                      </c:pt>
                      <c:pt idx="74">
                        <c:v>45958</c:v>
                      </c:pt>
                      <c:pt idx="75">
                        <c:v>45986</c:v>
                      </c:pt>
                      <c:pt idx="76">
                        <c:v>46000</c:v>
                      </c:pt>
                      <c:pt idx="77">
                        <c:v>46021</c:v>
                      </c:pt>
                      <c:pt idx="78">
                        <c:v>46028</c:v>
                      </c:pt>
                      <c:pt idx="79">
                        <c:v>46042</c:v>
                      </c:pt>
                      <c:pt idx="80">
                        <c:v>46056</c:v>
                      </c:pt>
                      <c:pt idx="81">
                        <c:v>46070</c:v>
                      </c:pt>
                      <c:pt idx="82">
                        <c:v>46084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'Rental supply rightmove'!$E$179:$E$261</c15:sqref>
                        </c15:formulaRef>
                      </c:ext>
                    </c:extLst>
                    <c:numCache>
                      <c:formatCode>General</c:formatCode>
                      <c:ptCount val="83"/>
                      <c:pt idx="0">
                        <c:v>4673</c:v>
                      </c:pt>
                      <c:pt idx="1">
                        <c:v>4373</c:v>
                      </c:pt>
                      <c:pt idx="2">
                        <c:v>1143</c:v>
                      </c:pt>
                      <c:pt idx="3">
                        <c:v>5972</c:v>
                      </c:pt>
                      <c:pt idx="4">
                        <c:v>5075</c:v>
                      </c:pt>
                      <c:pt idx="5">
                        <c:v>5216</c:v>
                      </c:pt>
                      <c:pt idx="6">
                        <c:v>5004</c:v>
                      </c:pt>
                      <c:pt idx="7">
                        <c:v>5470</c:v>
                      </c:pt>
                      <c:pt idx="8">
                        <c:v>5248</c:v>
                      </c:pt>
                      <c:pt idx="9">
                        <c:v>5561</c:v>
                      </c:pt>
                      <c:pt idx="10">
                        <c:v>5872</c:v>
                      </c:pt>
                      <c:pt idx="11">
                        <c:v>4771</c:v>
                      </c:pt>
                      <c:pt idx="12">
                        <c:v>6604</c:v>
                      </c:pt>
                      <c:pt idx="13">
                        <c:v>5294</c:v>
                      </c:pt>
                      <c:pt idx="14">
                        <c:v>6708</c:v>
                      </c:pt>
                      <c:pt idx="15">
                        <c:v>6700</c:v>
                      </c:pt>
                      <c:pt idx="16">
                        <c:v>7146</c:v>
                      </c:pt>
                      <c:pt idx="17">
                        <c:v>6875</c:v>
                      </c:pt>
                      <c:pt idx="18">
                        <c:v>6978</c:v>
                      </c:pt>
                      <c:pt idx="19">
                        <c:v>6422</c:v>
                      </c:pt>
                      <c:pt idx="20">
                        <c:v>6285</c:v>
                      </c:pt>
                      <c:pt idx="21">
                        <c:v>6729</c:v>
                      </c:pt>
                      <c:pt idx="22">
                        <c:v>6575</c:v>
                      </c:pt>
                      <c:pt idx="23">
                        <c:v>7405</c:v>
                      </c:pt>
                      <c:pt idx="24">
                        <c:v>6798</c:v>
                      </c:pt>
                      <c:pt idx="25">
                        <c:v>7060</c:v>
                      </c:pt>
                      <c:pt idx="26">
                        <c:v>6822</c:v>
                      </c:pt>
                      <c:pt idx="27">
                        <c:v>5588</c:v>
                      </c:pt>
                      <c:pt idx="28">
                        <c:v>1433</c:v>
                      </c:pt>
                      <c:pt idx="29">
                        <c:v>8019</c:v>
                      </c:pt>
                      <c:pt idx="30">
                        <c:v>7254</c:v>
                      </c:pt>
                      <c:pt idx="31">
                        <c:v>7155</c:v>
                      </c:pt>
                      <c:pt idx="32">
                        <c:v>7219</c:v>
                      </c:pt>
                      <c:pt idx="33">
                        <c:v>7310</c:v>
                      </c:pt>
                      <c:pt idx="34">
                        <c:v>7341</c:v>
                      </c:pt>
                      <c:pt idx="35">
                        <c:v>5232</c:v>
                      </c:pt>
                      <c:pt idx="36">
                        <c:v>2514</c:v>
                      </c:pt>
                      <c:pt idx="37">
                        <c:v>8009</c:v>
                      </c:pt>
                      <c:pt idx="38">
                        <c:v>6011</c:v>
                      </c:pt>
                      <c:pt idx="39">
                        <c:v>7981</c:v>
                      </c:pt>
                      <c:pt idx="40">
                        <c:v>8204</c:v>
                      </c:pt>
                      <c:pt idx="41">
                        <c:v>8730</c:v>
                      </c:pt>
                      <c:pt idx="42">
                        <c:v>8114</c:v>
                      </c:pt>
                      <c:pt idx="43">
                        <c:v>7253</c:v>
                      </c:pt>
                      <c:pt idx="44">
                        <c:v>7418</c:v>
                      </c:pt>
                      <c:pt idx="45">
                        <c:v>7691</c:v>
                      </c:pt>
                      <c:pt idx="46">
                        <c:v>7408</c:v>
                      </c:pt>
                      <c:pt idx="47">
                        <c:v>7643</c:v>
                      </c:pt>
                      <c:pt idx="48">
                        <c:v>7887</c:v>
                      </c:pt>
                      <c:pt idx="49">
                        <c:v>7761</c:v>
                      </c:pt>
                      <c:pt idx="50">
                        <c:v>7010</c:v>
                      </c:pt>
                      <c:pt idx="51">
                        <c:v>6311</c:v>
                      </c:pt>
                      <c:pt idx="52">
                        <c:v>4327</c:v>
                      </c:pt>
                      <c:pt idx="53">
                        <c:v>5803</c:v>
                      </c:pt>
                      <c:pt idx="54">
                        <c:v>4867</c:v>
                      </c:pt>
                      <c:pt idx="55">
                        <c:v>6967</c:v>
                      </c:pt>
                      <c:pt idx="56">
                        <c:v>7195</c:v>
                      </c:pt>
                      <c:pt idx="57">
                        <c:v>7114</c:v>
                      </c:pt>
                      <c:pt idx="58">
                        <c:v>7863</c:v>
                      </c:pt>
                      <c:pt idx="59">
                        <c:v>7420</c:v>
                      </c:pt>
                      <c:pt idx="60">
                        <c:v>7628</c:v>
                      </c:pt>
                      <c:pt idx="61">
                        <c:v>7093</c:v>
                      </c:pt>
                      <c:pt idx="62">
                        <c:v>8860</c:v>
                      </c:pt>
                      <c:pt idx="63">
                        <c:v>7158</c:v>
                      </c:pt>
                      <c:pt idx="64">
                        <c:v>8742</c:v>
                      </c:pt>
                      <c:pt idx="65">
                        <c:v>8815</c:v>
                      </c:pt>
                      <c:pt idx="66">
                        <c:v>8860</c:v>
                      </c:pt>
                      <c:pt idx="67">
                        <c:v>8743</c:v>
                      </c:pt>
                      <c:pt idx="68">
                        <c:v>8514</c:v>
                      </c:pt>
                      <c:pt idx="69">
                        <c:v>8121</c:v>
                      </c:pt>
                      <c:pt idx="70">
                        <c:v>7818</c:v>
                      </c:pt>
                      <c:pt idx="71">
                        <c:v>7745</c:v>
                      </c:pt>
                      <c:pt idx="72">
                        <c:v>7629</c:v>
                      </c:pt>
                      <c:pt idx="73">
                        <c:v>7962</c:v>
                      </c:pt>
                      <c:pt idx="74">
                        <c:v>7643</c:v>
                      </c:pt>
                      <c:pt idx="75">
                        <c:v>6964</c:v>
                      </c:pt>
                      <c:pt idx="76">
                        <c:v>6572</c:v>
                      </c:pt>
                      <c:pt idx="77">
                        <c:v>2518</c:v>
                      </c:pt>
                      <c:pt idx="78">
                        <c:v>4450</c:v>
                      </c:pt>
                      <c:pt idx="79">
                        <c:v>7442</c:v>
                      </c:pt>
                      <c:pt idx="80">
                        <c:v>7134</c:v>
                      </c:pt>
                      <c:pt idx="81">
                        <c:v>7127</c:v>
                      </c:pt>
                      <c:pt idx="82">
                        <c:v>6971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9E9-4889-8849-9927890B97EF}"/>
                  </c:ext>
                </c:extLst>
              </c15:ser>
            </c15:filteredLineSeries>
          </c:ext>
        </c:extLst>
      </c:lineChart>
      <c:dateAx>
        <c:axId val="1683117624"/>
        <c:scaling>
          <c:orientation val="minMax"/>
        </c:scaling>
        <c:delete val="0"/>
        <c:axPos val="b"/>
        <c:numFmt formatCode="mm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Foundry Form Sans" panose="02000503050000020004" pitchFamily="2" charset="0"/>
                <a:ea typeface="+mn-ea"/>
                <a:cs typeface="+mn-cs"/>
              </a:defRPr>
            </a:pPr>
            <a:endParaRPr lang="en-US"/>
          </a:p>
        </c:txPr>
        <c:crossAx val="1683115104"/>
        <c:crosses val="autoZero"/>
        <c:auto val="1"/>
        <c:lblOffset val="100"/>
        <c:baseTimeUnit val="days"/>
        <c:majorUnit val="6"/>
        <c:majorTimeUnit val="months"/>
      </c:dateAx>
      <c:valAx>
        <c:axId val="16831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7E6E6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Foundry Form Sans" panose="02000503050000020004" pitchFamily="2" charset="0"/>
                <a:ea typeface="+mn-ea"/>
                <a:cs typeface="+mn-cs"/>
              </a:defRPr>
            </a:pPr>
            <a:endParaRPr lang="en-US"/>
          </a:p>
        </c:txPr>
        <c:crossAx val="1683117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Foundry Form Sans" panose="02000503050000020004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Foundry Form Sans" panose="0200050305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Foundry Form Sans" panose="02000503050000020004" pitchFamily="2" charset="0"/>
                <a:ea typeface="+mn-ea"/>
                <a:cs typeface="+mn-cs"/>
              </a:defRPr>
            </a:pPr>
            <a:r>
              <a:rPr lang="en-GB"/>
              <a:t>Chart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Foundry Form Sans" panose="0200050305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'Rental supply by price'!$C$7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'Rental supply by price'!$B$9:$B$251</c:f>
              <c:numCache>
                <c:formatCode>m/d/yy</c:formatCode>
                <c:ptCount val="243"/>
                <c:pt idx="0">
                  <c:v>43915.447916666664</c:v>
                </c:pt>
                <c:pt idx="1">
                  <c:v>43920.563888888886</c:v>
                </c:pt>
                <c:pt idx="2">
                  <c:v>43921.470833333333</c:v>
                </c:pt>
                <c:pt idx="3">
                  <c:v>43922.387499999997</c:v>
                </c:pt>
                <c:pt idx="4">
                  <c:v>43923.652777777781</c:v>
                </c:pt>
                <c:pt idx="5">
                  <c:v>43924.354166666664</c:v>
                </c:pt>
                <c:pt idx="6">
                  <c:v>43926.579861111109</c:v>
                </c:pt>
                <c:pt idx="7">
                  <c:v>43927.569444444445</c:v>
                </c:pt>
                <c:pt idx="8">
                  <c:v>43928.538194444445</c:v>
                </c:pt>
                <c:pt idx="9">
                  <c:v>43929.673611111109</c:v>
                </c:pt>
                <c:pt idx="10">
                  <c:v>43930.503472222219</c:v>
                </c:pt>
                <c:pt idx="11">
                  <c:v>43934.791666666664</c:v>
                </c:pt>
                <c:pt idx="12">
                  <c:v>43935.510416666664</c:v>
                </c:pt>
                <c:pt idx="13">
                  <c:v>43936.510416666664</c:v>
                </c:pt>
                <c:pt idx="14">
                  <c:v>43937.506249999999</c:v>
                </c:pt>
                <c:pt idx="15">
                  <c:v>43938.506249942133</c:v>
                </c:pt>
                <c:pt idx="16">
                  <c:v>43940.365277777775</c:v>
                </c:pt>
                <c:pt idx="17">
                  <c:v>43940.506944444445</c:v>
                </c:pt>
                <c:pt idx="18">
                  <c:v>43941.504861111112</c:v>
                </c:pt>
                <c:pt idx="19">
                  <c:v>43942.504861111112</c:v>
                </c:pt>
                <c:pt idx="20">
                  <c:v>43943.501388888886</c:v>
                </c:pt>
                <c:pt idx="21">
                  <c:v>43944.505555555559</c:v>
                </c:pt>
                <c:pt idx="22">
                  <c:v>43945.501388888886</c:v>
                </c:pt>
                <c:pt idx="23">
                  <c:v>43948.504166666666</c:v>
                </c:pt>
                <c:pt idx="24">
                  <c:v>43949.504166666666</c:v>
                </c:pt>
                <c:pt idx="25">
                  <c:v>43950.502083333333</c:v>
                </c:pt>
                <c:pt idx="26">
                  <c:v>43951.503472222219</c:v>
                </c:pt>
                <c:pt idx="27">
                  <c:v>43952.504166666666</c:v>
                </c:pt>
                <c:pt idx="28">
                  <c:v>43955.505555555559</c:v>
                </c:pt>
                <c:pt idx="29">
                  <c:v>43956.504166666666</c:v>
                </c:pt>
                <c:pt idx="30">
                  <c:v>43957.505555555559</c:v>
                </c:pt>
                <c:pt idx="31">
                  <c:v>43958.50277777778</c:v>
                </c:pt>
                <c:pt idx="32">
                  <c:v>43962.504166666666</c:v>
                </c:pt>
                <c:pt idx="33">
                  <c:v>43963.507638888892</c:v>
                </c:pt>
                <c:pt idx="34">
                  <c:v>43964.504861111112</c:v>
                </c:pt>
                <c:pt idx="35">
                  <c:v>43965.506249999999</c:v>
                </c:pt>
                <c:pt idx="36">
                  <c:v>43966.509722222225</c:v>
                </c:pt>
                <c:pt idx="37">
                  <c:v>43969.50277777778</c:v>
                </c:pt>
                <c:pt idx="38">
                  <c:v>43970.507638888892</c:v>
                </c:pt>
                <c:pt idx="39">
                  <c:v>43971.506249999999</c:v>
                </c:pt>
                <c:pt idx="40">
                  <c:v>43972.504166666666</c:v>
                </c:pt>
                <c:pt idx="41">
                  <c:v>43973.506249999999</c:v>
                </c:pt>
                <c:pt idx="42">
                  <c:v>43977.505555555559</c:v>
                </c:pt>
                <c:pt idx="43">
                  <c:v>43978.504166666666</c:v>
                </c:pt>
                <c:pt idx="44">
                  <c:v>43979.504861111112</c:v>
                </c:pt>
                <c:pt idx="45">
                  <c:v>43980.508333333331</c:v>
                </c:pt>
                <c:pt idx="46">
                  <c:v>43983.504166666666</c:v>
                </c:pt>
                <c:pt idx="47">
                  <c:v>43984.50277777778</c:v>
                </c:pt>
                <c:pt idx="48">
                  <c:v>43985.503472222219</c:v>
                </c:pt>
                <c:pt idx="49">
                  <c:v>43987.504166666666</c:v>
                </c:pt>
                <c:pt idx="50">
                  <c:v>43990.507638888892</c:v>
                </c:pt>
                <c:pt idx="51">
                  <c:v>43991.509722222225</c:v>
                </c:pt>
                <c:pt idx="52">
                  <c:v>43992.509027777778</c:v>
                </c:pt>
                <c:pt idx="53">
                  <c:v>43993.509722222225</c:v>
                </c:pt>
                <c:pt idx="54">
                  <c:v>43994.506944444445</c:v>
                </c:pt>
                <c:pt idx="55">
                  <c:v>43997.517361111109</c:v>
                </c:pt>
                <c:pt idx="56">
                  <c:v>43998.507638888892</c:v>
                </c:pt>
                <c:pt idx="57">
                  <c:v>43999.508333333331</c:v>
                </c:pt>
                <c:pt idx="58">
                  <c:v>44000.507638888892</c:v>
                </c:pt>
                <c:pt idx="59">
                  <c:v>44001.5</c:v>
                </c:pt>
                <c:pt idx="60">
                  <c:v>44004.5</c:v>
                </c:pt>
                <c:pt idx="61">
                  <c:v>44005.509722222225</c:v>
                </c:pt>
                <c:pt idx="62">
                  <c:v>44006.506944444445</c:v>
                </c:pt>
                <c:pt idx="63">
                  <c:v>44007.509722222225</c:v>
                </c:pt>
                <c:pt idx="64">
                  <c:v>44011.505555555559</c:v>
                </c:pt>
                <c:pt idx="65">
                  <c:v>44012.507638888892</c:v>
                </c:pt>
                <c:pt idx="66">
                  <c:v>44013.511111111111</c:v>
                </c:pt>
                <c:pt idx="67">
                  <c:v>44014.502083333333</c:v>
                </c:pt>
                <c:pt idx="68">
                  <c:v>44015.51458333333</c:v>
                </c:pt>
                <c:pt idx="69">
                  <c:v>44018.51458333333</c:v>
                </c:pt>
                <c:pt idx="70">
                  <c:v>44019.507638888892</c:v>
                </c:pt>
                <c:pt idx="71">
                  <c:v>44020.505555555559</c:v>
                </c:pt>
                <c:pt idx="72">
                  <c:v>44021.508333333331</c:v>
                </c:pt>
                <c:pt idx="73">
                  <c:v>44025.51458333333</c:v>
                </c:pt>
                <c:pt idx="74">
                  <c:v>44026.511805555558</c:v>
                </c:pt>
                <c:pt idx="75">
                  <c:v>44027.505555555559</c:v>
                </c:pt>
                <c:pt idx="76">
                  <c:v>44028.51458333333</c:v>
                </c:pt>
                <c:pt idx="77">
                  <c:v>44029.507638888892</c:v>
                </c:pt>
                <c:pt idx="78">
                  <c:v>44032.521527777775</c:v>
                </c:pt>
                <c:pt idx="79">
                  <c:v>44033.511805555558</c:v>
                </c:pt>
                <c:pt idx="80">
                  <c:v>44034.505555555559</c:v>
                </c:pt>
                <c:pt idx="81">
                  <c:v>44035.506249999999</c:v>
                </c:pt>
                <c:pt idx="82">
                  <c:v>44036.519444444442</c:v>
                </c:pt>
                <c:pt idx="83">
                  <c:v>44039.510416666664</c:v>
                </c:pt>
                <c:pt idx="84">
                  <c:v>44040.523611111108</c:v>
                </c:pt>
                <c:pt idx="85">
                  <c:v>44041.511805555558</c:v>
                </c:pt>
                <c:pt idx="86">
                  <c:v>44042.511111111111</c:v>
                </c:pt>
                <c:pt idx="87">
                  <c:v>44043.515277777777</c:v>
                </c:pt>
                <c:pt idx="88">
                  <c:v>44046.506249999999</c:v>
                </c:pt>
                <c:pt idx="89">
                  <c:v>44047.509722222225</c:v>
                </c:pt>
                <c:pt idx="90">
                  <c:v>44048.518055555556</c:v>
                </c:pt>
                <c:pt idx="91">
                  <c:v>44049.504166666666</c:v>
                </c:pt>
                <c:pt idx="92">
                  <c:v>44050.507638888892</c:v>
                </c:pt>
                <c:pt idx="93">
                  <c:v>44053.522916666669</c:v>
                </c:pt>
                <c:pt idx="94">
                  <c:v>44054.518750000003</c:v>
                </c:pt>
                <c:pt idx="95">
                  <c:v>44055.518055555556</c:v>
                </c:pt>
                <c:pt idx="96">
                  <c:v>44056.51666666667</c:v>
                </c:pt>
                <c:pt idx="97">
                  <c:v>44057.524305555555</c:v>
                </c:pt>
                <c:pt idx="98">
                  <c:v>44060.5</c:v>
                </c:pt>
                <c:pt idx="99">
                  <c:v>44061.515277777777</c:v>
                </c:pt>
                <c:pt idx="100">
                  <c:v>44062.501388888886</c:v>
                </c:pt>
                <c:pt idx="101">
                  <c:v>44064.5</c:v>
                </c:pt>
                <c:pt idx="102">
                  <c:v>44067.50277777778</c:v>
                </c:pt>
                <c:pt idx="103">
                  <c:v>44068.5</c:v>
                </c:pt>
                <c:pt idx="104">
                  <c:v>44082.52847222222</c:v>
                </c:pt>
                <c:pt idx="105">
                  <c:v>44096.5</c:v>
                </c:pt>
                <c:pt idx="106">
                  <c:v>44113.5</c:v>
                </c:pt>
                <c:pt idx="107">
                  <c:v>44124.5</c:v>
                </c:pt>
                <c:pt idx="108">
                  <c:v>44138.5</c:v>
                </c:pt>
                <c:pt idx="109">
                  <c:v>44152.5</c:v>
                </c:pt>
                <c:pt idx="110">
                  <c:v>44166.5</c:v>
                </c:pt>
                <c:pt idx="111">
                  <c:v>44180.5</c:v>
                </c:pt>
                <c:pt idx="112">
                  <c:v>44208.5</c:v>
                </c:pt>
                <c:pt idx="113">
                  <c:v>44222.5</c:v>
                </c:pt>
                <c:pt idx="114">
                  <c:v>44250</c:v>
                </c:pt>
                <c:pt idx="115">
                  <c:v>44264</c:v>
                </c:pt>
                <c:pt idx="116">
                  <c:v>44278</c:v>
                </c:pt>
                <c:pt idx="117">
                  <c:v>44292</c:v>
                </c:pt>
                <c:pt idx="118">
                  <c:v>44306</c:v>
                </c:pt>
                <c:pt idx="119">
                  <c:v>44320</c:v>
                </c:pt>
                <c:pt idx="120">
                  <c:v>44334</c:v>
                </c:pt>
                <c:pt idx="121">
                  <c:v>44348</c:v>
                </c:pt>
                <c:pt idx="122">
                  <c:v>44362</c:v>
                </c:pt>
                <c:pt idx="123">
                  <c:v>44376</c:v>
                </c:pt>
                <c:pt idx="124">
                  <c:v>44390</c:v>
                </c:pt>
                <c:pt idx="125">
                  <c:v>44404</c:v>
                </c:pt>
                <c:pt idx="126">
                  <c:v>44419</c:v>
                </c:pt>
                <c:pt idx="127">
                  <c:v>44432</c:v>
                </c:pt>
                <c:pt idx="128">
                  <c:v>44446</c:v>
                </c:pt>
                <c:pt idx="129">
                  <c:v>44460</c:v>
                </c:pt>
                <c:pt idx="130">
                  <c:v>44474</c:v>
                </c:pt>
                <c:pt idx="131">
                  <c:v>44488</c:v>
                </c:pt>
                <c:pt idx="132">
                  <c:v>44502</c:v>
                </c:pt>
                <c:pt idx="133">
                  <c:v>44516</c:v>
                </c:pt>
                <c:pt idx="134">
                  <c:v>44530</c:v>
                </c:pt>
                <c:pt idx="135">
                  <c:v>44544</c:v>
                </c:pt>
                <c:pt idx="136">
                  <c:v>44559</c:v>
                </c:pt>
                <c:pt idx="137">
                  <c:v>44572</c:v>
                </c:pt>
                <c:pt idx="138">
                  <c:v>44586</c:v>
                </c:pt>
                <c:pt idx="139">
                  <c:v>44600</c:v>
                </c:pt>
                <c:pt idx="140">
                  <c:v>44614</c:v>
                </c:pt>
                <c:pt idx="141">
                  <c:v>44628</c:v>
                </c:pt>
                <c:pt idx="142">
                  <c:v>44642</c:v>
                </c:pt>
                <c:pt idx="143">
                  <c:v>44656</c:v>
                </c:pt>
                <c:pt idx="144">
                  <c:v>44670</c:v>
                </c:pt>
                <c:pt idx="145">
                  <c:v>44684</c:v>
                </c:pt>
                <c:pt idx="146">
                  <c:v>44698</c:v>
                </c:pt>
                <c:pt idx="147">
                  <c:v>44712</c:v>
                </c:pt>
                <c:pt idx="148">
                  <c:v>44726</c:v>
                </c:pt>
                <c:pt idx="149">
                  <c:v>44740</c:v>
                </c:pt>
                <c:pt idx="150">
                  <c:v>44754</c:v>
                </c:pt>
                <c:pt idx="151">
                  <c:v>44768</c:v>
                </c:pt>
                <c:pt idx="152">
                  <c:v>44782</c:v>
                </c:pt>
                <c:pt idx="153">
                  <c:v>44796</c:v>
                </c:pt>
                <c:pt idx="154">
                  <c:v>44810</c:v>
                </c:pt>
                <c:pt idx="155">
                  <c:v>44824</c:v>
                </c:pt>
                <c:pt idx="156">
                  <c:v>44838</c:v>
                </c:pt>
                <c:pt idx="157">
                  <c:v>44853</c:v>
                </c:pt>
                <c:pt idx="158">
                  <c:v>44866</c:v>
                </c:pt>
                <c:pt idx="159">
                  <c:v>44880</c:v>
                </c:pt>
                <c:pt idx="160">
                  <c:v>44894</c:v>
                </c:pt>
                <c:pt idx="161">
                  <c:v>44908</c:v>
                </c:pt>
                <c:pt idx="162">
                  <c:v>44925</c:v>
                </c:pt>
                <c:pt idx="163">
                  <c:v>44936</c:v>
                </c:pt>
                <c:pt idx="164">
                  <c:v>44950</c:v>
                </c:pt>
                <c:pt idx="165">
                  <c:v>44964</c:v>
                </c:pt>
                <c:pt idx="166">
                  <c:v>44978</c:v>
                </c:pt>
                <c:pt idx="167">
                  <c:v>44992</c:v>
                </c:pt>
                <c:pt idx="168">
                  <c:v>45006</c:v>
                </c:pt>
                <c:pt idx="169">
                  <c:v>45020</c:v>
                </c:pt>
                <c:pt idx="170">
                  <c:v>45034</c:v>
                </c:pt>
                <c:pt idx="171">
                  <c:v>45048</c:v>
                </c:pt>
                <c:pt idx="172">
                  <c:v>45062</c:v>
                </c:pt>
                <c:pt idx="173">
                  <c:v>45076</c:v>
                </c:pt>
                <c:pt idx="174">
                  <c:v>45090</c:v>
                </c:pt>
                <c:pt idx="175">
                  <c:v>45104</c:v>
                </c:pt>
                <c:pt idx="176">
                  <c:v>45118</c:v>
                </c:pt>
                <c:pt idx="177">
                  <c:v>45132</c:v>
                </c:pt>
                <c:pt idx="178">
                  <c:v>45146</c:v>
                </c:pt>
                <c:pt idx="179">
                  <c:v>45160</c:v>
                </c:pt>
                <c:pt idx="180">
                  <c:v>45174</c:v>
                </c:pt>
                <c:pt idx="181">
                  <c:v>45188</c:v>
                </c:pt>
                <c:pt idx="182">
                  <c:v>45202</c:v>
                </c:pt>
                <c:pt idx="183">
                  <c:v>45216</c:v>
                </c:pt>
                <c:pt idx="184">
                  <c:v>45230</c:v>
                </c:pt>
                <c:pt idx="185">
                  <c:v>45244</c:v>
                </c:pt>
                <c:pt idx="186">
                  <c:v>45258</c:v>
                </c:pt>
                <c:pt idx="187">
                  <c:v>45273</c:v>
                </c:pt>
                <c:pt idx="188">
                  <c:v>45292</c:v>
                </c:pt>
                <c:pt idx="189">
                  <c:v>45300</c:v>
                </c:pt>
                <c:pt idx="190">
                  <c:v>45314</c:v>
                </c:pt>
                <c:pt idx="191">
                  <c:v>45328</c:v>
                </c:pt>
                <c:pt idx="192">
                  <c:v>45342</c:v>
                </c:pt>
                <c:pt idx="193">
                  <c:v>45356</c:v>
                </c:pt>
                <c:pt idx="194">
                  <c:v>45370</c:v>
                </c:pt>
                <c:pt idx="195">
                  <c:v>45384</c:v>
                </c:pt>
                <c:pt idx="196">
                  <c:v>45396</c:v>
                </c:pt>
                <c:pt idx="197">
                  <c:v>45426</c:v>
                </c:pt>
                <c:pt idx="198">
                  <c:v>45440</c:v>
                </c:pt>
                <c:pt idx="199">
                  <c:v>45454</c:v>
                </c:pt>
                <c:pt idx="200">
                  <c:v>45468</c:v>
                </c:pt>
                <c:pt idx="201">
                  <c:v>45482</c:v>
                </c:pt>
                <c:pt idx="202">
                  <c:v>45496</c:v>
                </c:pt>
                <c:pt idx="203">
                  <c:v>45510</c:v>
                </c:pt>
                <c:pt idx="204">
                  <c:v>45524</c:v>
                </c:pt>
                <c:pt idx="205">
                  <c:v>45552</c:v>
                </c:pt>
                <c:pt idx="206">
                  <c:v>45566</c:v>
                </c:pt>
                <c:pt idx="207">
                  <c:v>45580</c:v>
                </c:pt>
                <c:pt idx="208">
                  <c:v>45594</c:v>
                </c:pt>
                <c:pt idx="209">
                  <c:v>45608</c:v>
                </c:pt>
                <c:pt idx="210">
                  <c:v>45622</c:v>
                </c:pt>
                <c:pt idx="211">
                  <c:v>45636</c:v>
                </c:pt>
                <c:pt idx="212">
                  <c:v>45650</c:v>
                </c:pt>
                <c:pt idx="213">
                  <c:v>45664</c:v>
                </c:pt>
                <c:pt idx="214">
                  <c:v>45678</c:v>
                </c:pt>
                <c:pt idx="215">
                  <c:v>45692</c:v>
                </c:pt>
                <c:pt idx="216">
                  <c:v>45706</c:v>
                </c:pt>
                <c:pt idx="217">
                  <c:v>45720</c:v>
                </c:pt>
                <c:pt idx="218">
                  <c:v>45734</c:v>
                </c:pt>
                <c:pt idx="219">
                  <c:v>45748</c:v>
                </c:pt>
                <c:pt idx="220">
                  <c:v>45762</c:v>
                </c:pt>
                <c:pt idx="221">
                  <c:v>45783</c:v>
                </c:pt>
                <c:pt idx="222">
                  <c:v>45790</c:v>
                </c:pt>
                <c:pt idx="223">
                  <c:v>45804</c:v>
                </c:pt>
                <c:pt idx="224">
                  <c:v>45818</c:v>
                </c:pt>
                <c:pt idx="225">
                  <c:v>45832</c:v>
                </c:pt>
                <c:pt idx="226">
                  <c:v>45846</c:v>
                </c:pt>
                <c:pt idx="227">
                  <c:v>45860</c:v>
                </c:pt>
                <c:pt idx="228">
                  <c:v>45874</c:v>
                </c:pt>
                <c:pt idx="229">
                  <c:v>45888</c:v>
                </c:pt>
                <c:pt idx="230">
                  <c:v>45902</c:v>
                </c:pt>
                <c:pt idx="231">
                  <c:v>45916</c:v>
                </c:pt>
                <c:pt idx="232">
                  <c:v>45930</c:v>
                </c:pt>
                <c:pt idx="233">
                  <c:v>45944</c:v>
                </c:pt>
                <c:pt idx="234">
                  <c:v>45958</c:v>
                </c:pt>
                <c:pt idx="235">
                  <c:v>45986</c:v>
                </c:pt>
                <c:pt idx="236">
                  <c:v>46000</c:v>
                </c:pt>
                <c:pt idx="237">
                  <c:v>46021</c:v>
                </c:pt>
                <c:pt idx="238">
                  <c:v>46028</c:v>
                </c:pt>
                <c:pt idx="239">
                  <c:v>46042</c:v>
                </c:pt>
                <c:pt idx="240">
                  <c:v>46056</c:v>
                </c:pt>
                <c:pt idx="241">
                  <c:v>46070</c:v>
                </c:pt>
                <c:pt idx="242">
                  <c:v>46084</c:v>
                </c:pt>
              </c:numCache>
            </c:numRef>
          </c:cat>
          <c:val>
            <c:numRef>
              <c:f>'Rental supply by price'!$C$9:$C$251</c:f>
              <c:numCache>
                <c:formatCode>#,##0</c:formatCode>
                <c:ptCount val="243"/>
                <c:pt idx="0">
                  <c:v>835</c:v>
                </c:pt>
                <c:pt idx="1">
                  <c:v>823</c:v>
                </c:pt>
                <c:pt idx="2">
                  <c:v>840</c:v>
                </c:pt>
                <c:pt idx="3">
                  <c:v>838</c:v>
                </c:pt>
                <c:pt idx="4">
                  <c:v>843</c:v>
                </c:pt>
                <c:pt idx="5">
                  <c:v>850</c:v>
                </c:pt>
                <c:pt idx="6">
                  <c:v>874</c:v>
                </c:pt>
                <c:pt idx="7">
                  <c:v>873</c:v>
                </c:pt>
                <c:pt idx="8">
                  <c:v>869</c:v>
                </c:pt>
                <c:pt idx="9">
                  <c:v>862</c:v>
                </c:pt>
                <c:pt idx="10">
                  <c:v>856</c:v>
                </c:pt>
                <c:pt idx="11">
                  <c:v>863</c:v>
                </c:pt>
                <c:pt idx="12">
                  <c:v>863</c:v>
                </c:pt>
                <c:pt idx="13">
                  <c:v>885</c:v>
                </c:pt>
                <c:pt idx="14">
                  <c:v>865</c:v>
                </c:pt>
                <c:pt idx="15">
                  <c:v>871</c:v>
                </c:pt>
                <c:pt idx="16">
                  <c:v>868</c:v>
                </c:pt>
                <c:pt idx="17">
                  <c:v>869</c:v>
                </c:pt>
                <c:pt idx="18">
                  <c:v>871</c:v>
                </c:pt>
                <c:pt idx="19">
                  <c:v>875</c:v>
                </c:pt>
                <c:pt idx="20">
                  <c:v>869</c:v>
                </c:pt>
                <c:pt idx="21">
                  <c:v>864</c:v>
                </c:pt>
                <c:pt idx="22">
                  <c:v>870</c:v>
                </c:pt>
                <c:pt idx="23">
                  <c:v>877</c:v>
                </c:pt>
                <c:pt idx="24">
                  <c:v>869</c:v>
                </c:pt>
                <c:pt idx="25">
                  <c:v>869</c:v>
                </c:pt>
                <c:pt idx="26">
                  <c:v>872</c:v>
                </c:pt>
                <c:pt idx="27">
                  <c:v>866</c:v>
                </c:pt>
                <c:pt idx="28">
                  <c:v>863</c:v>
                </c:pt>
                <c:pt idx="29">
                  <c:v>857</c:v>
                </c:pt>
                <c:pt idx="30">
                  <c:v>869</c:v>
                </c:pt>
                <c:pt idx="31">
                  <c:v>895</c:v>
                </c:pt>
                <c:pt idx="32">
                  <c:v>891</c:v>
                </c:pt>
                <c:pt idx="33" formatCode="General">
                  <c:v>885</c:v>
                </c:pt>
                <c:pt idx="34" formatCode="General">
                  <c:v>884</c:v>
                </c:pt>
                <c:pt idx="35" formatCode="General">
                  <c:v>900</c:v>
                </c:pt>
                <c:pt idx="36" formatCode="General">
                  <c:v>924</c:v>
                </c:pt>
                <c:pt idx="37" formatCode="General">
                  <c:v>883</c:v>
                </c:pt>
                <c:pt idx="38" formatCode="General">
                  <c:v>888</c:v>
                </c:pt>
                <c:pt idx="39" formatCode="General">
                  <c:v>910</c:v>
                </c:pt>
                <c:pt idx="40" formatCode="General">
                  <c:v>904</c:v>
                </c:pt>
                <c:pt idx="41" formatCode="General">
                  <c:v>912</c:v>
                </c:pt>
                <c:pt idx="42" formatCode="General">
                  <c:v>927</c:v>
                </c:pt>
                <c:pt idx="43" formatCode="General">
                  <c:v>915</c:v>
                </c:pt>
                <c:pt idx="44" formatCode="General">
                  <c:v>919</c:v>
                </c:pt>
                <c:pt idx="45" formatCode="General">
                  <c:v>917</c:v>
                </c:pt>
                <c:pt idx="46" formatCode="General">
                  <c:v>911</c:v>
                </c:pt>
                <c:pt idx="47" formatCode="General">
                  <c:v>929</c:v>
                </c:pt>
                <c:pt idx="48" formatCode="General">
                  <c:v>935</c:v>
                </c:pt>
                <c:pt idx="49" formatCode="General">
                  <c:v>955</c:v>
                </c:pt>
                <c:pt idx="50" formatCode="General">
                  <c:v>959</c:v>
                </c:pt>
                <c:pt idx="51" formatCode="General">
                  <c:v>960</c:v>
                </c:pt>
                <c:pt idx="52" formatCode="General">
                  <c:v>962</c:v>
                </c:pt>
                <c:pt idx="53" formatCode="General">
                  <c:v>960</c:v>
                </c:pt>
                <c:pt idx="54" formatCode="General">
                  <c:v>961</c:v>
                </c:pt>
                <c:pt idx="55" formatCode="General">
                  <c:v>977</c:v>
                </c:pt>
                <c:pt idx="56" formatCode="General">
                  <c:v>962</c:v>
                </c:pt>
                <c:pt idx="57" formatCode="General">
                  <c:v>971</c:v>
                </c:pt>
                <c:pt idx="58" formatCode="General">
                  <c:v>983</c:v>
                </c:pt>
                <c:pt idx="59" formatCode="General">
                  <c:v>978</c:v>
                </c:pt>
                <c:pt idx="60" formatCode="General">
                  <c:v>955</c:v>
                </c:pt>
                <c:pt idx="61" formatCode="General">
                  <c:v>980</c:v>
                </c:pt>
                <c:pt idx="62" formatCode="General">
                  <c:v>970</c:v>
                </c:pt>
                <c:pt idx="63" formatCode="General">
                  <c:v>985</c:v>
                </c:pt>
                <c:pt idx="64" formatCode="General">
                  <c:v>980</c:v>
                </c:pt>
                <c:pt idx="65" formatCode="General">
                  <c:v>989</c:v>
                </c:pt>
                <c:pt idx="66" formatCode="General">
                  <c:v>991</c:v>
                </c:pt>
                <c:pt idx="67" formatCode="General">
                  <c:v>997</c:v>
                </c:pt>
                <c:pt idx="68" formatCode="General">
                  <c:v>1011</c:v>
                </c:pt>
                <c:pt idx="69" formatCode="General">
                  <c:v>1022</c:v>
                </c:pt>
                <c:pt idx="70" formatCode="General">
                  <c:v>1033</c:v>
                </c:pt>
                <c:pt idx="71" formatCode="General">
                  <c:v>1061</c:v>
                </c:pt>
                <c:pt idx="72" formatCode="General">
                  <c:v>1049</c:v>
                </c:pt>
                <c:pt idx="73" formatCode="General">
                  <c:v>1077</c:v>
                </c:pt>
                <c:pt idx="74" formatCode="General">
                  <c:v>1082</c:v>
                </c:pt>
                <c:pt idx="75" formatCode="General">
                  <c:v>1060</c:v>
                </c:pt>
                <c:pt idx="76" formatCode="General">
                  <c:v>1097</c:v>
                </c:pt>
                <c:pt idx="77" formatCode="General">
                  <c:v>1095</c:v>
                </c:pt>
                <c:pt idx="78" formatCode="General">
                  <c:v>1095</c:v>
                </c:pt>
                <c:pt idx="79" formatCode="General">
                  <c:v>1085</c:v>
                </c:pt>
                <c:pt idx="80" formatCode="General">
                  <c:v>1085</c:v>
                </c:pt>
                <c:pt idx="81" formatCode="General">
                  <c:v>1091</c:v>
                </c:pt>
                <c:pt idx="82" formatCode="General">
                  <c:v>1099</c:v>
                </c:pt>
                <c:pt idx="83" formatCode="General">
                  <c:v>1105</c:v>
                </c:pt>
                <c:pt idx="84" formatCode="General">
                  <c:v>1114</c:v>
                </c:pt>
                <c:pt idx="85" formatCode="General">
                  <c:v>1123</c:v>
                </c:pt>
                <c:pt idx="86" formatCode="General">
                  <c:v>1138</c:v>
                </c:pt>
                <c:pt idx="87" formatCode="General">
                  <c:v>1132</c:v>
                </c:pt>
                <c:pt idx="88" formatCode="General">
                  <c:v>1136</c:v>
                </c:pt>
                <c:pt idx="89" formatCode="General">
                  <c:v>1169</c:v>
                </c:pt>
                <c:pt idx="90" formatCode="General">
                  <c:v>1189</c:v>
                </c:pt>
                <c:pt idx="91" formatCode="General">
                  <c:v>1201</c:v>
                </c:pt>
                <c:pt idx="92" formatCode="General">
                  <c:v>1211</c:v>
                </c:pt>
                <c:pt idx="93" formatCode="General">
                  <c:v>1200</c:v>
                </c:pt>
                <c:pt idx="94" formatCode="General">
                  <c:v>1208</c:v>
                </c:pt>
                <c:pt idx="95" formatCode="General">
                  <c:v>1222</c:v>
                </c:pt>
                <c:pt idx="96" formatCode="General">
                  <c:v>1207</c:v>
                </c:pt>
                <c:pt idx="97" formatCode="General">
                  <c:v>1210</c:v>
                </c:pt>
                <c:pt idx="98" formatCode="General">
                  <c:v>1204</c:v>
                </c:pt>
                <c:pt idx="99" formatCode="General">
                  <c:v>1204</c:v>
                </c:pt>
                <c:pt idx="100" formatCode="General">
                  <c:v>1213</c:v>
                </c:pt>
                <c:pt idx="101" formatCode="General">
                  <c:v>1207</c:v>
                </c:pt>
                <c:pt idx="102" formatCode="General">
                  <c:v>1202</c:v>
                </c:pt>
                <c:pt idx="103" formatCode="General">
                  <c:v>1207</c:v>
                </c:pt>
                <c:pt idx="104" formatCode="General">
                  <c:v>1165</c:v>
                </c:pt>
                <c:pt idx="105" formatCode="General">
                  <c:v>1204</c:v>
                </c:pt>
                <c:pt idx="106" formatCode="General">
                  <c:v>1261</c:v>
                </c:pt>
                <c:pt idx="107" formatCode="General">
                  <c:v>1255</c:v>
                </c:pt>
                <c:pt idx="108" formatCode="General">
                  <c:v>1259</c:v>
                </c:pt>
                <c:pt idx="109" formatCode="General">
                  <c:v>1319</c:v>
                </c:pt>
                <c:pt idx="110" formatCode="General">
                  <c:v>1328</c:v>
                </c:pt>
                <c:pt idx="111" formatCode="General">
                  <c:v>1362</c:v>
                </c:pt>
                <c:pt idx="112" formatCode="General">
                  <c:v>1347</c:v>
                </c:pt>
                <c:pt idx="113" formatCode="General">
                  <c:v>1324</c:v>
                </c:pt>
                <c:pt idx="114" formatCode="General">
                  <c:v>1405</c:v>
                </c:pt>
                <c:pt idx="115" formatCode="General">
                  <c:v>1401</c:v>
                </c:pt>
                <c:pt idx="116" formatCode="General">
                  <c:v>1477</c:v>
                </c:pt>
                <c:pt idx="117" formatCode="General">
                  <c:v>1513</c:v>
                </c:pt>
                <c:pt idx="118" formatCode="General">
                  <c:v>1525</c:v>
                </c:pt>
                <c:pt idx="119" formatCode="General">
                  <c:v>1545</c:v>
                </c:pt>
                <c:pt idx="120" formatCode="General">
                  <c:v>1546</c:v>
                </c:pt>
                <c:pt idx="121" formatCode="General">
                  <c:v>1504</c:v>
                </c:pt>
                <c:pt idx="122" formatCode="General">
                  <c:v>1559</c:v>
                </c:pt>
                <c:pt idx="123" formatCode="General">
                  <c:v>1526</c:v>
                </c:pt>
                <c:pt idx="124" formatCode="General">
                  <c:v>1532</c:v>
                </c:pt>
                <c:pt idx="125" formatCode="General">
                  <c:v>1557</c:v>
                </c:pt>
                <c:pt idx="126" formatCode="General">
                  <c:v>1414</c:v>
                </c:pt>
                <c:pt idx="127" formatCode="General">
                  <c:v>1318</c:v>
                </c:pt>
                <c:pt idx="128" formatCode="General">
                  <c:v>1195</c:v>
                </c:pt>
                <c:pt idx="129" formatCode="General">
                  <c:v>1026</c:v>
                </c:pt>
                <c:pt idx="130" formatCode="General">
                  <c:v>898</c:v>
                </c:pt>
                <c:pt idx="131" formatCode="General">
                  <c:v>810</c:v>
                </c:pt>
                <c:pt idx="132" formatCode="General">
                  <c:v>722</c:v>
                </c:pt>
                <c:pt idx="133" formatCode="General">
                  <c:v>612</c:v>
                </c:pt>
                <c:pt idx="134" formatCode="General">
                  <c:v>590</c:v>
                </c:pt>
                <c:pt idx="135" formatCode="General">
                  <c:v>543</c:v>
                </c:pt>
                <c:pt idx="136" formatCode="General">
                  <c:v>477</c:v>
                </c:pt>
                <c:pt idx="137" formatCode="General">
                  <c:v>529</c:v>
                </c:pt>
                <c:pt idx="138" formatCode="General">
                  <c:v>444</c:v>
                </c:pt>
                <c:pt idx="139" formatCode="General">
                  <c:v>440</c:v>
                </c:pt>
                <c:pt idx="140" formatCode="General">
                  <c:v>405</c:v>
                </c:pt>
                <c:pt idx="141" formatCode="General">
                  <c:v>368</c:v>
                </c:pt>
                <c:pt idx="142" formatCode="General">
                  <c:v>317</c:v>
                </c:pt>
                <c:pt idx="143" formatCode="General">
                  <c:v>305</c:v>
                </c:pt>
                <c:pt idx="144" formatCode="General">
                  <c:v>323</c:v>
                </c:pt>
                <c:pt idx="145" formatCode="General">
                  <c:v>300</c:v>
                </c:pt>
                <c:pt idx="146" formatCode="General">
                  <c:v>283</c:v>
                </c:pt>
                <c:pt idx="147" formatCode="General">
                  <c:v>267</c:v>
                </c:pt>
                <c:pt idx="148" formatCode="General">
                  <c:v>207</c:v>
                </c:pt>
                <c:pt idx="149" formatCode="General">
                  <c:v>202</c:v>
                </c:pt>
                <c:pt idx="150" formatCode="General">
                  <c:v>182</c:v>
                </c:pt>
                <c:pt idx="151" formatCode="General">
                  <c:v>158</c:v>
                </c:pt>
                <c:pt idx="152" formatCode="General">
                  <c:v>152</c:v>
                </c:pt>
                <c:pt idx="153" formatCode="General">
                  <c:v>128</c:v>
                </c:pt>
                <c:pt idx="154" formatCode="General">
                  <c:v>104</c:v>
                </c:pt>
                <c:pt idx="155" formatCode="General">
                  <c:v>101</c:v>
                </c:pt>
                <c:pt idx="156" formatCode="General">
                  <c:v>89</c:v>
                </c:pt>
                <c:pt idx="157" formatCode="General">
                  <c:v>70</c:v>
                </c:pt>
                <c:pt idx="158" formatCode="General">
                  <c:v>62</c:v>
                </c:pt>
                <c:pt idx="159" formatCode="General">
                  <c:v>48</c:v>
                </c:pt>
                <c:pt idx="160" formatCode="General">
                  <c:v>56</c:v>
                </c:pt>
                <c:pt idx="161" formatCode="General">
                  <c:v>53</c:v>
                </c:pt>
                <c:pt idx="162" formatCode="General">
                  <c:v>42</c:v>
                </c:pt>
                <c:pt idx="163" formatCode="General">
                  <c:v>62</c:v>
                </c:pt>
                <c:pt idx="164" formatCode="General">
                  <c:v>64</c:v>
                </c:pt>
                <c:pt idx="165" formatCode="General">
                  <c:v>47</c:v>
                </c:pt>
                <c:pt idx="166" formatCode="General">
                  <c:v>53</c:v>
                </c:pt>
                <c:pt idx="167" formatCode="General">
                  <c:v>52</c:v>
                </c:pt>
                <c:pt idx="168" formatCode="General">
                  <c:v>61</c:v>
                </c:pt>
                <c:pt idx="169" formatCode="General">
                  <c:v>46</c:v>
                </c:pt>
                <c:pt idx="170" formatCode="General">
                  <c:v>44</c:v>
                </c:pt>
                <c:pt idx="171" formatCode="General">
                  <c:v>45</c:v>
                </c:pt>
                <c:pt idx="172" formatCode="General">
                  <c:v>52</c:v>
                </c:pt>
                <c:pt idx="173" formatCode="General">
                  <c:v>41</c:v>
                </c:pt>
                <c:pt idx="174" formatCode="General">
                  <c:v>60</c:v>
                </c:pt>
                <c:pt idx="175" formatCode="General">
                  <c:v>46</c:v>
                </c:pt>
                <c:pt idx="176" formatCode="General">
                  <c:v>34</c:v>
                </c:pt>
                <c:pt idx="177" formatCode="General">
                  <c:v>30</c:v>
                </c:pt>
                <c:pt idx="178" formatCode="General">
                  <c:v>27</c:v>
                </c:pt>
                <c:pt idx="179" formatCode="General">
                  <c:v>29</c:v>
                </c:pt>
                <c:pt idx="180" formatCode="General">
                  <c:v>28</c:v>
                </c:pt>
                <c:pt idx="181" formatCode="General">
                  <c:v>27</c:v>
                </c:pt>
                <c:pt idx="182" formatCode="General">
                  <c:v>36</c:v>
                </c:pt>
                <c:pt idx="183" formatCode="General">
                  <c:v>36</c:v>
                </c:pt>
                <c:pt idx="184" formatCode="General">
                  <c:v>20</c:v>
                </c:pt>
                <c:pt idx="185" formatCode="General">
                  <c:v>39</c:v>
                </c:pt>
                <c:pt idx="186" formatCode="General">
                  <c:v>42</c:v>
                </c:pt>
                <c:pt idx="187" formatCode="General">
                  <c:v>42</c:v>
                </c:pt>
                <c:pt idx="188" formatCode="General">
                  <c:v>32</c:v>
                </c:pt>
                <c:pt idx="189" formatCode="General">
                  <c:v>38</c:v>
                </c:pt>
                <c:pt idx="190" formatCode="General">
                  <c:v>37</c:v>
                </c:pt>
                <c:pt idx="191" formatCode="General">
                  <c:v>31</c:v>
                </c:pt>
                <c:pt idx="192" formatCode="General">
                  <c:v>35</c:v>
                </c:pt>
                <c:pt idx="193" formatCode="General">
                  <c:v>33</c:v>
                </c:pt>
                <c:pt idx="194" formatCode="General">
                  <c:v>32</c:v>
                </c:pt>
                <c:pt idx="195" formatCode="General">
                  <c:v>37</c:v>
                </c:pt>
                <c:pt idx="196" formatCode="General">
                  <c:v>42</c:v>
                </c:pt>
                <c:pt idx="197" formatCode="General">
                  <c:v>43</c:v>
                </c:pt>
                <c:pt idx="198" formatCode="General">
                  <c:v>33</c:v>
                </c:pt>
                <c:pt idx="199" formatCode="General">
                  <c:v>36</c:v>
                </c:pt>
                <c:pt idx="200" formatCode="General">
                  <c:v>34</c:v>
                </c:pt>
                <c:pt idx="201" formatCode="General">
                  <c:v>39</c:v>
                </c:pt>
                <c:pt idx="202" formatCode="General">
                  <c:v>40</c:v>
                </c:pt>
                <c:pt idx="203" formatCode="General">
                  <c:v>34</c:v>
                </c:pt>
                <c:pt idx="204" formatCode="General">
                  <c:v>36</c:v>
                </c:pt>
                <c:pt idx="205" formatCode="General">
                  <c:v>42</c:v>
                </c:pt>
                <c:pt idx="206" formatCode="General">
                  <c:v>43</c:v>
                </c:pt>
                <c:pt idx="207" formatCode="General">
                  <c:v>48</c:v>
                </c:pt>
                <c:pt idx="208" formatCode="General">
                  <c:v>33</c:v>
                </c:pt>
                <c:pt idx="209" formatCode="General">
                  <c:v>41</c:v>
                </c:pt>
                <c:pt idx="210" formatCode="General">
                  <c:v>37</c:v>
                </c:pt>
                <c:pt idx="211" formatCode="General">
                  <c:v>39</c:v>
                </c:pt>
                <c:pt idx="212" formatCode="General">
                  <c:v>20</c:v>
                </c:pt>
                <c:pt idx="213" formatCode="General">
                  <c:v>47</c:v>
                </c:pt>
                <c:pt idx="214" formatCode="General">
                  <c:v>66</c:v>
                </c:pt>
                <c:pt idx="215" formatCode="General">
                  <c:v>71</c:v>
                </c:pt>
                <c:pt idx="216" formatCode="General">
                  <c:v>63</c:v>
                </c:pt>
                <c:pt idx="217" formatCode="General">
                  <c:v>62</c:v>
                </c:pt>
                <c:pt idx="218" formatCode="General">
                  <c:v>78</c:v>
                </c:pt>
                <c:pt idx="219" formatCode="General">
                  <c:v>91</c:v>
                </c:pt>
                <c:pt idx="220" formatCode="General">
                  <c:v>88</c:v>
                </c:pt>
                <c:pt idx="221" formatCode="General">
                  <c:v>71</c:v>
                </c:pt>
                <c:pt idx="222" formatCode="General">
                  <c:v>78</c:v>
                </c:pt>
                <c:pt idx="223" formatCode="General">
                  <c:v>78</c:v>
                </c:pt>
                <c:pt idx="224" formatCode="General">
                  <c:v>61</c:v>
                </c:pt>
                <c:pt idx="225" formatCode="General">
                  <c:v>54</c:v>
                </c:pt>
                <c:pt idx="226" formatCode="General">
                  <c:v>54</c:v>
                </c:pt>
                <c:pt idx="227" formatCode="General">
                  <c:v>55</c:v>
                </c:pt>
                <c:pt idx="228" formatCode="General">
                  <c:v>54</c:v>
                </c:pt>
                <c:pt idx="229" formatCode="General">
                  <c:v>70</c:v>
                </c:pt>
                <c:pt idx="230" formatCode="General">
                  <c:v>68</c:v>
                </c:pt>
                <c:pt idx="231" formatCode="General">
                  <c:v>69</c:v>
                </c:pt>
                <c:pt idx="232" formatCode="General">
                  <c:v>64</c:v>
                </c:pt>
                <c:pt idx="233" formatCode="General">
                  <c:v>68</c:v>
                </c:pt>
                <c:pt idx="234" formatCode="General">
                  <c:v>74</c:v>
                </c:pt>
                <c:pt idx="235" formatCode="General">
                  <c:v>67</c:v>
                </c:pt>
                <c:pt idx="236" formatCode="General">
                  <c:v>74</c:v>
                </c:pt>
                <c:pt idx="237" formatCode="General">
                  <c:v>75</c:v>
                </c:pt>
                <c:pt idx="238" formatCode="General">
                  <c:v>81</c:v>
                </c:pt>
                <c:pt idx="239" formatCode="General">
                  <c:v>73</c:v>
                </c:pt>
                <c:pt idx="240" formatCode="General">
                  <c:v>81</c:v>
                </c:pt>
                <c:pt idx="241" formatCode="General">
                  <c:v>74</c:v>
                </c:pt>
                <c:pt idx="242" formatCode="General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F2-4439-907B-2DBC758769AE}"/>
            </c:ext>
          </c:extLst>
        </c:ser>
        <c:ser>
          <c:idx val="1"/>
          <c:order val="1"/>
          <c:tx>
            <c:strRef>
              <c:f>'Rental supply by price'!$D$7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'Rental supply by price'!$B$9:$B$251</c:f>
              <c:numCache>
                <c:formatCode>m/d/yy</c:formatCode>
                <c:ptCount val="243"/>
                <c:pt idx="0">
                  <c:v>43915.447916666664</c:v>
                </c:pt>
                <c:pt idx="1">
                  <c:v>43920.563888888886</c:v>
                </c:pt>
                <c:pt idx="2">
                  <c:v>43921.470833333333</c:v>
                </c:pt>
                <c:pt idx="3">
                  <c:v>43922.387499999997</c:v>
                </c:pt>
                <c:pt idx="4">
                  <c:v>43923.652777777781</c:v>
                </c:pt>
                <c:pt idx="5">
                  <c:v>43924.354166666664</c:v>
                </c:pt>
                <c:pt idx="6">
                  <c:v>43926.579861111109</c:v>
                </c:pt>
                <c:pt idx="7">
                  <c:v>43927.569444444445</c:v>
                </c:pt>
                <c:pt idx="8">
                  <c:v>43928.538194444445</c:v>
                </c:pt>
                <c:pt idx="9">
                  <c:v>43929.673611111109</c:v>
                </c:pt>
                <c:pt idx="10">
                  <c:v>43930.503472222219</c:v>
                </c:pt>
                <c:pt idx="11">
                  <c:v>43934.791666666664</c:v>
                </c:pt>
                <c:pt idx="12">
                  <c:v>43935.510416666664</c:v>
                </c:pt>
                <c:pt idx="13">
                  <c:v>43936.510416666664</c:v>
                </c:pt>
                <c:pt idx="14">
                  <c:v>43937.506249999999</c:v>
                </c:pt>
                <c:pt idx="15">
                  <c:v>43938.506249942133</c:v>
                </c:pt>
                <c:pt idx="16">
                  <c:v>43940.365277777775</c:v>
                </c:pt>
                <c:pt idx="17">
                  <c:v>43940.506944444445</c:v>
                </c:pt>
                <c:pt idx="18">
                  <c:v>43941.504861111112</c:v>
                </c:pt>
                <c:pt idx="19">
                  <c:v>43942.504861111112</c:v>
                </c:pt>
                <c:pt idx="20">
                  <c:v>43943.501388888886</c:v>
                </c:pt>
                <c:pt idx="21">
                  <c:v>43944.505555555559</c:v>
                </c:pt>
                <c:pt idx="22">
                  <c:v>43945.501388888886</c:v>
                </c:pt>
                <c:pt idx="23">
                  <c:v>43948.504166666666</c:v>
                </c:pt>
                <c:pt idx="24">
                  <c:v>43949.504166666666</c:v>
                </c:pt>
                <c:pt idx="25">
                  <c:v>43950.502083333333</c:v>
                </c:pt>
                <c:pt idx="26">
                  <c:v>43951.503472222219</c:v>
                </c:pt>
                <c:pt idx="27">
                  <c:v>43952.504166666666</c:v>
                </c:pt>
                <c:pt idx="28">
                  <c:v>43955.505555555559</c:v>
                </c:pt>
                <c:pt idx="29">
                  <c:v>43956.504166666666</c:v>
                </c:pt>
                <c:pt idx="30">
                  <c:v>43957.505555555559</c:v>
                </c:pt>
                <c:pt idx="31">
                  <c:v>43958.50277777778</c:v>
                </c:pt>
                <c:pt idx="32">
                  <c:v>43962.504166666666</c:v>
                </c:pt>
                <c:pt idx="33">
                  <c:v>43963.507638888892</c:v>
                </c:pt>
                <c:pt idx="34">
                  <c:v>43964.504861111112</c:v>
                </c:pt>
                <c:pt idx="35">
                  <c:v>43965.506249999999</c:v>
                </c:pt>
                <c:pt idx="36">
                  <c:v>43966.509722222225</c:v>
                </c:pt>
                <c:pt idx="37">
                  <c:v>43969.50277777778</c:v>
                </c:pt>
                <c:pt idx="38">
                  <c:v>43970.507638888892</c:v>
                </c:pt>
                <c:pt idx="39">
                  <c:v>43971.506249999999</c:v>
                </c:pt>
                <c:pt idx="40">
                  <c:v>43972.504166666666</c:v>
                </c:pt>
                <c:pt idx="41">
                  <c:v>43973.506249999999</c:v>
                </c:pt>
                <c:pt idx="42">
                  <c:v>43977.505555555559</c:v>
                </c:pt>
                <c:pt idx="43">
                  <c:v>43978.504166666666</c:v>
                </c:pt>
                <c:pt idx="44">
                  <c:v>43979.504861111112</c:v>
                </c:pt>
                <c:pt idx="45">
                  <c:v>43980.508333333331</c:v>
                </c:pt>
                <c:pt idx="46">
                  <c:v>43983.504166666666</c:v>
                </c:pt>
                <c:pt idx="47">
                  <c:v>43984.50277777778</c:v>
                </c:pt>
                <c:pt idx="48">
                  <c:v>43985.503472222219</c:v>
                </c:pt>
                <c:pt idx="49">
                  <c:v>43987.504166666666</c:v>
                </c:pt>
                <c:pt idx="50">
                  <c:v>43990.507638888892</c:v>
                </c:pt>
                <c:pt idx="51">
                  <c:v>43991.509722222225</c:v>
                </c:pt>
                <c:pt idx="52">
                  <c:v>43992.509027777778</c:v>
                </c:pt>
                <c:pt idx="53">
                  <c:v>43993.509722222225</c:v>
                </c:pt>
                <c:pt idx="54">
                  <c:v>43994.506944444445</c:v>
                </c:pt>
                <c:pt idx="55">
                  <c:v>43997.517361111109</c:v>
                </c:pt>
                <c:pt idx="56">
                  <c:v>43998.507638888892</c:v>
                </c:pt>
                <c:pt idx="57">
                  <c:v>43999.508333333331</c:v>
                </c:pt>
                <c:pt idx="58">
                  <c:v>44000.507638888892</c:v>
                </c:pt>
                <c:pt idx="59">
                  <c:v>44001.5</c:v>
                </c:pt>
                <c:pt idx="60">
                  <c:v>44004.5</c:v>
                </c:pt>
                <c:pt idx="61">
                  <c:v>44005.509722222225</c:v>
                </c:pt>
                <c:pt idx="62">
                  <c:v>44006.506944444445</c:v>
                </c:pt>
                <c:pt idx="63">
                  <c:v>44007.509722222225</c:v>
                </c:pt>
                <c:pt idx="64">
                  <c:v>44011.505555555559</c:v>
                </c:pt>
                <c:pt idx="65">
                  <c:v>44012.507638888892</c:v>
                </c:pt>
                <c:pt idx="66">
                  <c:v>44013.511111111111</c:v>
                </c:pt>
                <c:pt idx="67">
                  <c:v>44014.502083333333</c:v>
                </c:pt>
                <c:pt idx="68">
                  <c:v>44015.51458333333</c:v>
                </c:pt>
                <c:pt idx="69">
                  <c:v>44018.51458333333</c:v>
                </c:pt>
                <c:pt idx="70">
                  <c:v>44019.507638888892</c:v>
                </c:pt>
                <c:pt idx="71">
                  <c:v>44020.505555555559</c:v>
                </c:pt>
                <c:pt idx="72">
                  <c:v>44021.508333333331</c:v>
                </c:pt>
                <c:pt idx="73">
                  <c:v>44025.51458333333</c:v>
                </c:pt>
                <c:pt idx="74">
                  <c:v>44026.511805555558</c:v>
                </c:pt>
                <c:pt idx="75">
                  <c:v>44027.505555555559</c:v>
                </c:pt>
                <c:pt idx="76">
                  <c:v>44028.51458333333</c:v>
                </c:pt>
                <c:pt idx="77">
                  <c:v>44029.507638888892</c:v>
                </c:pt>
                <c:pt idx="78">
                  <c:v>44032.521527777775</c:v>
                </c:pt>
                <c:pt idx="79">
                  <c:v>44033.511805555558</c:v>
                </c:pt>
                <c:pt idx="80">
                  <c:v>44034.505555555559</c:v>
                </c:pt>
                <c:pt idx="81">
                  <c:v>44035.506249999999</c:v>
                </c:pt>
                <c:pt idx="82">
                  <c:v>44036.519444444442</c:v>
                </c:pt>
                <c:pt idx="83">
                  <c:v>44039.510416666664</c:v>
                </c:pt>
                <c:pt idx="84">
                  <c:v>44040.523611111108</c:v>
                </c:pt>
                <c:pt idx="85">
                  <c:v>44041.511805555558</c:v>
                </c:pt>
                <c:pt idx="86">
                  <c:v>44042.511111111111</c:v>
                </c:pt>
                <c:pt idx="87">
                  <c:v>44043.515277777777</c:v>
                </c:pt>
                <c:pt idx="88">
                  <c:v>44046.506249999999</c:v>
                </c:pt>
                <c:pt idx="89">
                  <c:v>44047.509722222225</c:v>
                </c:pt>
                <c:pt idx="90">
                  <c:v>44048.518055555556</c:v>
                </c:pt>
                <c:pt idx="91">
                  <c:v>44049.504166666666</c:v>
                </c:pt>
                <c:pt idx="92">
                  <c:v>44050.507638888892</c:v>
                </c:pt>
                <c:pt idx="93">
                  <c:v>44053.522916666669</c:v>
                </c:pt>
                <c:pt idx="94">
                  <c:v>44054.518750000003</c:v>
                </c:pt>
                <c:pt idx="95">
                  <c:v>44055.518055555556</c:v>
                </c:pt>
                <c:pt idx="96">
                  <c:v>44056.51666666667</c:v>
                </c:pt>
                <c:pt idx="97">
                  <c:v>44057.524305555555</c:v>
                </c:pt>
                <c:pt idx="98">
                  <c:v>44060.5</c:v>
                </c:pt>
                <c:pt idx="99">
                  <c:v>44061.515277777777</c:v>
                </c:pt>
                <c:pt idx="100">
                  <c:v>44062.501388888886</c:v>
                </c:pt>
                <c:pt idx="101">
                  <c:v>44064.5</c:v>
                </c:pt>
                <c:pt idx="102">
                  <c:v>44067.50277777778</c:v>
                </c:pt>
                <c:pt idx="103">
                  <c:v>44068.5</c:v>
                </c:pt>
                <c:pt idx="104">
                  <c:v>44082.52847222222</c:v>
                </c:pt>
                <c:pt idx="105">
                  <c:v>44096.5</c:v>
                </c:pt>
                <c:pt idx="106">
                  <c:v>44113.5</c:v>
                </c:pt>
                <c:pt idx="107">
                  <c:v>44124.5</c:v>
                </c:pt>
                <c:pt idx="108">
                  <c:v>44138.5</c:v>
                </c:pt>
                <c:pt idx="109">
                  <c:v>44152.5</c:v>
                </c:pt>
                <c:pt idx="110">
                  <c:v>44166.5</c:v>
                </c:pt>
                <c:pt idx="111">
                  <c:v>44180.5</c:v>
                </c:pt>
                <c:pt idx="112">
                  <c:v>44208.5</c:v>
                </c:pt>
                <c:pt idx="113">
                  <c:v>44222.5</c:v>
                </c:pt>
                <c:pt idx="114">
                  <c:v>44250</c:v>
                </c:pt>
                <c:pt idx="115">
                  <c:v>44264</c:v>
                </c:pt>
                <c:pt idx="116">
                  <c:v>44278</c:v>
                </c:pt>
                <c:pt idx="117">
                  <c:v>44292</c:v>
                </c:pt>
                <c:pt idx="118">
                  <c:v>44306</c:v>
                </c:pt>
                <c:pt idx="119">
                  <c:v>44320</c:v>
                </c:pt>
                <c:pt idx="120">
                  <c:v>44334</c:v>
                </c:pt>
                <c:pt idx="121">
                  <c:v>44348</c:v>
                </c:pt>
                <c:pt idx="122">
                  <c:v>44362</c:v>
                </c:pt>
                <c:pt idx="123">
                  <c:v>44376</c:v>
                </c:pt>
                <c:pt idx="124">
                  <c:v>44390</c:v>
                </c:pt>
                <c:pt idx="125">
                  <c:v>44404</c:v>
                </c:pt>
                <c:pt idx="126">
                  <c:v>44419</c:v>
                </c:pt>
                <c:pt idx="127">
                  <c:v>44432</c:v>
                </c:pt>
                <c:pt idx="128">
                  <c:v>44446</c:v>
                </c:pt>
                <c:pt idx="129">
                  <c:v>44460</c:v>
                </c:pt>
                <c:pt idx="130">
                  <c:v>44474</c:v>
                </c:pt>
                <c:pt idx="131">
                  <c:v>44488</c:v>
                </c:pt>
                <c:pt idx="132">
                  <c:v>44502</c:v>
                </c:pt>
                <c:pt idx="133">
                  <c:v>44516</c:v>
                </c:pt>
                <c:pt idx="134">
                  <c:v>44530</c:v>
                </c:pt>
                <c:pt idx="135">
                  <c:v>44544</c:v>
                </c:pt>
                <c:pt idx="136">
                  <c:v>44559</c:v>
                </c:pt>
                <c:pt idx="137">
                  <c:v>44572</c:v>
                </c:pt>
                <c:pt idx="138">
                  <c:v>44586</c:v>
                </c:pt>
                <c:pt idx="139">
                  <c:v>44600</c:v>
                </c:pt>
                <c:pt idx="140">
                  <c:v>44614</c:v>
                </c:pt>
                <c:pt idx="141">
                  <c:v>44628</c:v>
                </c:pt>
                <c:pt idx="142">
                  <c:v>44642</c:v>
                </c:pt>
                <c:pt idx="143">
                  <c:v>44656</c:v>
                </c:pt>
                <c:pt idx="144">
                  <c:v>44670</c:v>
                </c:pt>
                <c:pt idx="145">
                  <c:v>44684</c:v>
                </c:pt>
                <c:pt idx="146">
                  <c:v>44698</c:v>
                </c:pt>
                <c:pt idx="147">
                  <c:v>44712</c:v>
                </c:pt>
                <c:pt idx="148">
                  <c:v>44726</c:v>
                </c:pt>
                <c:pt idx="149">
                  <c:v>44740</c:v>
                </c:pt>
                <c:pt idx="150">
                  <c:v>44754</c:v>
                </c:pt>
                <c:pt idx="151">
                  <c:v>44768</c:v>
                </c:pt>
                <c:pt idx="152">
                  <c:v>44782</c:v>
                </c:pt>
                <c:pt idx="153">
                  <c:v>44796</c:v>
                </c:pt>
                <c:pt idx="154">
                  <c:v>44810</c:v>
                </c:pt>
                <c:pt idx="155">
                  <c:v>44824</c:v>
                </c:pt>
                <c:pt idx="156">
                  <c:v>44838</c:v>
                </c:pt>
                <c:pt idx="157">
                  <c:v>44853</c:v>
                </c:pt>
                <c:pt idx="158">
                  <c:v>44866</c:v>
                </c:pt>
                <c:pt idx="159">
                  <c:v>44880</c:v>
                </c:pt>
                <c:pt idx="160">
                  <c:v>44894</c:v>
                </c:pt>
                <c:pt idx="161">
                  <c:v>44908</c:v>
                </c:pt>
                <c:pt idx="162">
                  <c:v>44925</c:v>
                </c:pt>
                <c:pt idx="163">
                  <c:v>44936</c:v>
                </c:pt>
                <c:pt idx="164">
                  <c:v>44950</c:v>
                </c:pt>
                <c:pt idx="165">
                  <c:v>44964</c:v>
                </c:pt>
                <c:pt idx="166">
                  <c:v>44978</c:v>
                </c:pt>
                <c:pt idx="167">
                  <c:v>44992</c:v>
                </c:pt>
                <c:pt idx="168">
                  <c:v>45006</c:v>
                </c:pt>
                <c:pt idx="169">
                  <c:v>45020</c:v>
                </c:pt>
                <c:pt idx="170">
                  <c:v>45034</c:v>
                </c:pt>
                <c:pt idx="171">
                  <c:v>45048</c:v>
                </c:pt>
                <c:pt idx="172">
                  <c:v>45062</c:v>
                </c:pt>
                <c:pt idx="173">
                  <c:v>45076</c:v>
                </c:pt>
                <c:pt idx="174">
                  <c:v>45090</c:v>
                </c:pt>
                <c:pt idx="175">
                  <c:v>45104</c:v>
                </c:pt>
                <c:pt idx="176">
                  <c:v>45118</c:v>
                </c:pt>
                <c:pt idx="177">
                  <c:v>45132</c:v>
                </c:pt>
                <c:pt idx="178">
                  <c:v>45146</c:v>
                </c:pt>
                <c:pt idx="179">
                  <c:v>45160</c:v>
                </c:pt>
                <c:pt idx="180">
                  <c:v>45174</c:v>
                </c:pt>
                <c:pt idx="181">
                  <c:v>45188</c:v>
                </c:pt>
                <c:pt idx="182">
                  <c:v>45202</c:v>
                </c:pt>
                <c:pt idx="183">
                  <c:v>45216</c:v>
                </c:pt>
                <c:pt idx="184">
                  <c:v>45230</c:v>
                </c:pt>
                <c:pt idx="185">
                  <c:v>45244</c:v>
                </c:pt>
                <c:pt idx="186">
                  <c:v>45258</c:v>
                </c:pt>
                <c:pt idx="187">
                  <c:v>45273</c:v>
                </c:pt>
                <c:pt idx="188">
                  <c:v>45292</c:v>
                </c:pt>
                <c:pt idx="189">
                  <c:v>45300</c:v>
                </c:pt>
                <c:pt idx="190">
                  <c:v>45314</c:v>
                </c:pt>
                <c:pt idx="191">
                  <c:v>45328</c:v>
                </c:pt>
                <c:pt idx="192">
                  <c:v>45342</c:v>
                </c:pt>
                <c:pt idx="193">
                  <c:v>45356</c:v>
                </c:pt>
                <c:pt idx="194">
                  <c:v>45370</c:v>
                </c:pt>
                <c:pt idx="195">
                  <c:v>45384</c:v>
                </c:pt>
                <c:pt idx="196">
                  <c:v>45396</c:v>
                </c:pt>
                <c:pt idx="197">
                  <c:v>45426</c:v>
                </c:pt>
                <c:pt idx="198">
                  <c:v>45440</c:v>
                </c:pt>
                <c:pt idx="199">
                  <c:v>45454</c:v>
                </c:pt>
                <c:pt idx="200">
                  <c:v>45468</c:v>
                </c:pt>
                <c:pt idx="201">
                  <c:v>45482</c:v>
                </c:pt>
                <c:pt idx="202">
                  <c:v>45496</c:v>
                </c:pt>
                <c:pt idx="203">
                  <c:v>45510</c:v>
                </c:pt>
                <c:pt idx="204">
                  <c:v>45524</c:v>
                </c:pt>
                <c:pt idx="205">
                  <c:v>45552</c:v>
                </c:pt>
                <c:pt idx="206">
                  <c:v>45566</c:v>
                </c:pt>
                <c:pt idx="207">
                  <c:v>45580</c:v>
                </c:pt>
                <c:pt idx="208">
                  <c:v>45594</c:v>
                </c:pt>
                <c:pt idx="209">
                  <c:v>45608</c:v>
                </c:pt>
                <c:pt idx="210">
                  <c:v>45622</c:v>
                </c:pt>
                <c:pt idx="211">
                  <c:v>45636</c:v>
                </c:pt>
                <c:pt idx="212">
                  <c:v>45650</c:v>
                </c:pt>
                <c:pt idx="213">
                  <c:v>45664</c:v>
                </c:pt>
                <c:pt idx="214">
                  <c:v>45678</c:v>
                </c:pt>
                <c:pt idx="215">
                  <c:v>45692</c:v>
                </c:pt>
                <c:pt idx="216">
                  <c:v>45706</c:v>
                </c:pt>
                <c:pt idx="217">
                  <c:v>45720</c:v>
                </c:pt>
                <c:pt idx="218">
                  <c:v>45734</c:v>
                </c:pt>
                <c:pt idx="219">
                  <c:v>45748</c:v>
                </c:pt>
                <c:pt idx="220">
                  <c:v>45762</c:v>
                </c:pt>
                <c:pt idx="221">
                  <c:v>45783</c:v>
                </c:pt>
                <c:pt idx="222">
                  <c:v>45790</c:v>
                </c:pt>
                <c:pt idx="223">
                  <c:v>45804</c:v>
                </c:pt>
                <c:pt idx="224">
                  <c:v>45818</c:v>
                </c:pt>
                <c:pt idx="225">
                  <c:v>45832</c:v>
                </c:pt>
                <c:pt idx="226">
                  <c:v>45846</c:v>
                </c:pt>
                <c:pt idx="227">
                  <c:v>45860</c:v>
                </c:pt>
                <c:pt idx="228">
                  <c:v>45874</c:v>
                </c:pt>
                <c:pt idx="229">
                  <c:v>45888</c:v>
                </c:pt>
                <c:pt idx="230">
                  <c:v>45902</c:v>
                </c:pt>
                <c:pt idx="231">
                  <c:v>45916</c:v>
                </c:pt>
                <c:pt idx="232">
                  <c:v>45930</c:v>
                </c:pt>
                <c:pt idx="233">
                  <c:v>45944</c:v>
                </c:pt>
                <c:pt idx="234">
                  <c:v>45958</c:v>
                </c:pt>
                <c:pt idx="235">
                  <c:v>45986</c:v>
                </c:pt>
                <c:pt idx="236">
                  <c:v>46000</c:v>
                </c:pt>
                <c:pt idx="237">
                  <c:v>46021</c:v>
                </c:pt>
                <c:pt idx="238">
                  <c:v>46028</c:v>
                </c:pt>
                <c:pt idx="239">
                  <c:v>46042</c:v>
                </c:pt>
                <c:pt idx="240">
                  <c:v>46056</c:v>
                </c:pt>
                <c:pt idx="241">
                  <c:v>46070</c:v>
                </c:pt>
                <c:pt idx="242">
                  <c:v>46084</c:v>
                </c:pt>
              </c:numCache>
            </c:numRef>
          </c:cat>
          <c:val>
            <c:numRef>
              <c:f>'Rental supply by price'!$D$9:$D$251</c:f>
              <c:numCache>
                <c:formatCode>#,##0</c:formatCode>
                <c:ptCount val="243"/>
                <c:pt idx="1">
                  <c:v>5030</c:v>
                </c:pt>
                <c:pt idx="2">
                  <c:v>5073</c:v>
                </c:pt>
                <c:pt idx="3">
                  <c:v>5073</c:v>
                </c:pt>
                <c:pt idx="4">
                  <c:v>5080</c:v>
                </c:pt>
                <c:pt idx="5">
                  <c:v>5060</c:v>
                </c:pt>
                <c:pt idx="6">
                  <c:v>5129</c:v>
                </c:pt>
                <c:pt idx="7">
                  <c:v>5106</c:v>
                </c:pt>
                <c:pt idx="8">
                  <c:v>5124</c:v>
                </c:pt>
                <c:pt idx="9">
                  <c:v>5180</c:v>
                </c:pt>
                <c:pt idx="10">
                  <c:v>5215</c:v>
                </c:pt>
                <c:pt idx="11">
                  <c:v>5296</c:v>
                </c:pt>
                <c:pt idx="12">
                  <c:v>5294</c:v>
                </c:pt>
                <c:pt idx="13">
                  <c:v>5382</c:v>
                </c:pt>
                <c:pt idx="14">
                  <c:v>5349</c:v>
                </c:pt>
                <c:pt idx="15">
                  <c:v>5418</c:v>
                </c:pt>
                <c:pt idx="16">
                  <c:v>5468</c:v>
                </c:pt>
                <c:pt idx="17">
                  <c:v>5468</c:v>
                </c:pt>
                <c:pt idx="18">
                  <c:v>5470</c:v>
                </c:pt>
                <c:pt idx="19">
                  <c:v>5546</c:v>
                </c:pt>
                <c:pt idx="20">
                  <c:v>5550</c:v>
                </c:pt>
                <c:pt idx="21">
                  <c:v>5589</c:v>
                </c:pt>
                <c:pt idx="22">
                  <c:v>5671</c:v>
                </c:pt>
                <c:pt idx="23">
                  <c:v>5714</c:v>
                </c:pt>
                <c:pt idx="24">
                  <c:v>5740</c:v>
                </c:pt>
                <c:pt idx="25">
                  <c:v>5783</c:v>
                </c:pt>
                <c:pt idx="26">
                  <c:v>5813</c:v>
                </c:pt>
                <c:pt idx="27">
                  <c:v>5868</c:v>
                </c:pt>
                <c:pt idx="28">
                  <c:v>5887</c:v>
                </c:pt>
                <c:pt idx="29">
                  <c:v>5969</c:v>
                </c:pt>
                <c:pt idx="30">
                  <c:v>6012</c:v>
                </c:pt>
                <c:pt idx="31">
                  <c:v>6072</c:v>
                </c:pt>
                <c:pt idx="32">
                  <c:v>6109</c:v>
                </c:pt>
                <c:pt idx="33">
                  <c:v>6113</c:v>
                </c:pt>
                <c:pt idx="34">
                  <c:v>6163</c:v>
                </c:pt>
                <c:pt idx="35">
                  <c:v>6307</c:v>
                </c:pt>
                <c:pt idx="36">
                  <c:v>6436</c:v>
                </c:pt>
                <c:pt idx="37">
                  <c:v>6330</c:v>
                </c:pt>
                <c:pt idx="38">
                  <c:v>6375</c:v>
                </c:pt>
                <c:pt idx="39">
                  <c:v>6450</c:v>
                </c:pt>
                <c:pt idx="40">
                  <c:v>6519</c:v>
                </c:pt>
                <c:pt idx="41">
                  <c:v>6626</c:v>
                </c:pt>
                <c:pt idx="42">
                  <c:v>6698</c:v>
                </c:pt>
                <c:pt idx="43">
                  <c:v>6770</c:v>
                </c:pt>
                <c:pt idx="44">
                  <c:v>6821</c:v>
                </c:pt>
                <c:pt idx="45">
                  <c:v>6880</c:v>
                </c:pt>
                <c:pt idx="46">
                  <c:v>6883</c:v>
                </c:pt>
                <c:pt idx="47">
                  <c:v>7026</c:v>
                </c:pt>
                <c:pt idx="48">
                  <c:v>7165</c:v>
                </c:pt>
                <c:pt idx="49">
                  <c:v>7368</c:v>
                </c:pt>
                <c:pt idx="50">
                  <c:v>7429</c:v>
                </c:pt>
                <c:pt idx="51">
                  <c:v>7564</c:v>
                </c:pt>
                <c:pt idx="52">
                  <c:v>7655</c:v>
                </c:pt>
                <c:pt idx="53">
                  <c:v>7744</c:v>
                </c:pt>
                <c:pt idx="54">
                  <c:v>7757</c:v>
                </c:pt>
                <c:pt idx="55">
                  <c:v>7798</c:v>
                </c:pt>
                <c:pt idx="56">
                  <c:v>7886</c:v>
                </c:pt>
                <c:pt idx="57">
                  <c:v>7901</c:v>
                </c:pt>
                <c:pt idx="58">
                  <c:v>8010</c:v>
                </c:pt>
                <c:pt idx="59">
                  <c:v>8081</c:v>
                </c:pt>
                <c:pt idx="60">
                  <c:v>8095</c:v>
                </c:pt>
                <c:pt idx="61">
                  <c:v>8209</c:v>
                </c:pt>
                <c:pt idx="62">
                  <c:v>8240</c:v>
                </c:pt>
                <c:pt idx="63">
                  <c:v>8313</c:v>
                </c:pt>
                <c:pt idx="64">
                  <c:v>8378</c:v>
                </c:pt>
                <c:pt idx="65">
                  <c:v>8443</c:v>
                </c:pt>
                <c:pt idx="66">
                  <c:v>8510</c:v>
                </c:pt>
                <c:pt idx="67">
                  <c:v>8584</c:v>
                </c:pt>
                <c:pt idx="68">
                  <c:v>8748</c:v>
                </c:pt>
                <c:pt idx="69">
                  <c:v>8786</c:v>
                </c:pt>
                <c:pt idx="70">
                  <c:v>8803</c:v>
                </c:pt>
                <c:pt idx="71">
                  <c:v>8888</c:v>
                </c:pt>
                <c:pt idx="72">
                  <c:v>8962</c:v>
                </c:pt>
                <c:pt idx="73">
                  <c:v>9114</c:v>
                </c:pt>
                <c:pt idx="74">
                  <c:v>9117</c:v>
                </c:pt>
                <c:pt idx="75">
                  <c:v>9187</c:v>
                </c:pt>
                <c:pt idx="76">
                  <c:v>9254</c:v>
                </c:pt>
                <c:pt idx="77">
                  <c:v>9263</c:v>
                </c:pt>
                <c:pt idx="78">
                  <c:v>9242</c:v>
                </c:pt>
                <c:pt idx="79">
                  <c:v>9214</c:v>
                </c:pt>
                <c:pt idx="80">
                  <c:v>9251</c:v>
                </c:pt>
                <c:pt idx="81">
                  <c:v>9316</c:v>
                </c:pt>
                <c:pt idx="82">
                  <c:v>9339</c:v>
                </c:pt>
                <c:pt idx="83">
                  <c:v>9345</c:v>
                </c:pt>
                <c:pt idx="84">
                  <c:v>9369</c:v>
                </c:pt>
                <c:pt idx="85">
                  <c:v>9421</c:v>
                </c:pt>
                <c:pt idx="86">
                  <c:v>9445</c:v>
                </c:pt>
                <c:pt idx="87">
                  <c:v>9453</c:v>
                </c:pt>
                <c:pt idx="88">
                  <c:v>9465</c:v>
                </c:pt>
                <c:pt idx="89">
                  <c:v>9496</c:v>
                </c:pt>
                <c:pt idx="90">
                  <c:v>9574</c:v>
                </c:pt>
                <c:pt idx="91">
                  <c:v>9662</c:v>
                </c:pt>
                <c:pt idx="92">
                  <c:v>9723</c:v>
                </c:pt>
                <c:pt idx="93">
                  <c:v>9686</c:v>
                </c:pt>
                <c:pt idx="94">
                  <c:v>9712</c:v>
                </c:pt>
                <c:pt idx="95">
                  <c:v>9764</c:v>
                </c:pt>
                <c:pt idx="96">
                  <c:v>9772</c:v>
                </c:pt>
                <c:pt idx="97">
                  <c:v>9855</c:v>
                </c:pt>
                <c:pt idx="98">
                  <c:v>9874</c:v>
                </c:pt>
                <c:pt idx="99">
                  <c:v>9929</c:v>
                </c:pt>
                <c:pt idx="100">
                  <c:v>9968</c:v>
                </c:pt>
                <c:pt idx="101">
                  <c:v>9931</c:v>
                </c:pt>
                <c:pt idx="102">
                  <c:v>9916</c:v>
                </c:pt>
                <c:pt idx="103">
                  <c:v>9909</c:v>
                </c:pt>
                <c:pt idx="104">
                  <c:v>9859</c:v>
                </c:pt>
                <c:pt idx="105">
                  <c:v>10005</c:v>
                </c:pt>
                <c:pt idx="106">
                  <c:v>10484</c:v>
                </c:pt>
                <c:pt idx="107">
                  <c:v>11060</c:v>
                </c:pt>
                <c:pt idx="108">
                  <c:v>12926</c:v>
                </c:pt>
                <c:pt idx="109">
                  <c:v>12024</c:v>
                </c:pt>
                <c:pt idx="110">
                  <c:v>11949</c:v>
                </c:pt>
                <c:pt idx="111">
                  <c:v>12111</c:v>
                </c:pt>
                <c:pt idx="112">
                  <c:v>11737</c:v>
                </c:pt>
                <c:pt idx="113">
                  <c:v>12204</c:v>
                </c:pt>
                <c:pt idx="114">
                  <c:v>12946</c:v>
                </c:pt>
                <c:pt idx="115">
                  <c:v>13062</c:v>
                </c:pt>
                <c:pt idx="116">
                  <c:v>12842</c:v>
                </c:pt>
                <c:pt idx="117" formatCode="General">
                  <c:v>12460</c:v>
                </c:pt>
                <c:pt idx="118" formatCode="General">
                  <c:v>12314</c:v>
                </c:pt>
                <c:pt idx="119" formatCode="General">
                  <c:v>12018</c:v>
                </c:pt>
                <c:pt idx="120" formatCode="General">
                  <c:v>11782</c:v>
                </c:pt>
                <c:pt idx="121" formatCode="General">
                  <c:v>11191</c:v>
                </c:pt>
                <c:pt idx="122" formatCode="General">
                  <c:v>11047</c:v>
                </c:pt>
                <c:pt idx="123" formatCode="General">
                  <c:v>10713</c:v>
                </c:pt>
                <c:pt idx="124" formatCode="General">
                  <c:v>10328</c:v>
                </c:pt>
                <c:pt idx="125" formatCode="General">
                  <c:v>9846</c:v>
                </c:pt>
                <c:pt idx="126" formatCode="General">
                  <c:v>8663</c:v>
                </c:pt>
                <c:pt idx="127" formatCode="General">
                  <c:v>7784</c:v>
                </c:pt>
                <c:pt idx="128" formatCode="General">
                  <c:v>6954</c:v>
                </c:pt>
                <c:pt idx="129" formatCode="General">
                  <c:v>5929</c:v>
                </c:pt>
                <c:pt idx="130" formatCode="General">
                  <c:v>5142</c:v>
                </c:pt>
                <c:pt idx="131" formatCode="General">
                  <c:v>4587</c:v>
                </c:pt>
                <c:pt idx="132" formatCode="General">
                  <c:v>4007</c:v>
                </c:pt>
                <c:pt idx="133" formatCode="General">
                  <c:v>3671</c:v>
                </c:pt>
                <c:pt idx="134" formatCode="General">
                  <c:v>3621</c:v>
                </c:pt>
                <c:pt idx="135" formatCode="General">
                  <c:v>3507</c:v>
                </c:pt>
                <c:pt idx="136" formatCode="General">
                  <c:v>3225</c:v>
                </c:pt>
                <c:pt idx="137" formatCode="General">
                  <c:v>3413</c:v>
                </c:pt>
                <c:pt idx="138" formatCode="General">
                  <c:v>3085</c:v>
                </c:pt>
                <c:pt idx="139" formatCode="General">
                  <c:v>2870</c:v>
                </c:pt>
                <c:pt idx="140" formatCode="General">
                  <c:v>2701</c:v>
                </c:pt>
                <c:pt idx="141" formatCode="General">
                  <c:v>2696</c:v>
                </c:pt>
                <c:pt idx="142" formatCode="General">
                  <c:v>2529</c:v>
                </c:pt>
                <c:pt idx="143" formatCode="General">
                  <c:v>2428</c:v>
                </c:pt>
                <c:pt idx="144" formatCode="General">
                  <c:v>2507</c:v>
                </c:pt>
                <c:pt idx="145" formatCode="General">
                  <c:v>2480</c:v>
                </c:pt>
                <c:pt idx="146" formatCode="General">
                  <c:v>2328</c:v>
                </c:pt>
                <c:pt idx="147" formatCode="General">
                  <c:v>2353</c:v>
                </c:pt>
                <c:pt idx="148" formatCode="General">
                  <c:v>2337</c:v>
                </c:pt>
                <c:pt idx="149" formatCode="General">
                  <c:v>2284</c:v>
                </c:pt>
                <c:pt idx="150" formatCode="General">
                  <c:v>2212</c:v>
                </c:pt>
                <c:pt idx="151" formatCode="General">
                  <c:v>2066</c:v>
                </c:pt>
                <c:pt idx="152" formatCode="General">
                  <c:v>1741</c:v>
                </c:pt>
                <c:pt idx="153" formatCode="General">
                  <c:v>1489</c:v>
                </c:pt>
                <c:pt idx="154" formatCode="General">
                  <c:v>1406</c:v>
                </c:pt>
                <c:pt idx="155" formatCode="General">
                  <c:v>1217</c:v>
                </c:pt>
                <c:pt idx="156" formatCode="General">
                  <c:v>1130</c:v>
                </c:pt>
                <c:pt idx="157" formatCode="General">
                  <c:v>1000</c:v>
                </c:pt>
                <c:pt idx="158" formatCode="General">
                  <c:v>991</c:v>
                </c:pt>
                <c:pt idx="159" formatCode="General">
                  <c:v>1097</c:v>
                </c:pt>
                <c:pt idx="160" formatCode="General">
                  <c:v>1152</c:v>
                </c:pt>
                <c:pt idx="161" formatCode="General">
                  <c:v>1166</c:v>
                </c:pt>
                <c:pt idx="162" formatCode="General">
                  <c:v>1068</c:v>
                </c:pt>
                <c:pt idx="163" formatCode="General">
                  <c:v>1280</c:v>
                </c:pt>
                <c:pt idx="164" formatCode="General">
                  <c:v>1123</c:v>
                </c:pt>
                <c:pt idx="165" formatCode="General">
                  <c:v>1067</c:v>
                </c:pt>
                <c:pt idx="166" formatCode="General">
                  <c:v>1088</c:v>
                </c:pt>
                <c:pt idx="167" formatCode="General">
                  <c:v>1097</c:v>
                </c:pt>
                <c:pt idx="168" formatCode="General">
                  <c:v>1131</c:v>
                </c:pt>
                <c:pt idx="169" formatCode="General">
                  <c:v>1116</c:v>
                </c:pt>
                <c:pt idx="170" formatCode="General">
                  <c:v>1111</c:v>
                </c:pt>
                <c:pt idx="171" formatCode="General">
                  <c:v>1159</c:v>
                </c:pt>
                <c:pt idx="172" formatCode="General">
                  <c:v>1231</c:v>
                </c:pt>
                <c:pt idx="173" formatCode="General">
                  <c:v>1195</c:v>
                </c:pt>
                <c:pt idx="174" formatCode="General">
                  <c:v>1303</c:v>
                </c:pt>
                <c:pt idx="175" formatCode="General">
                  <c:v>1309</c:v>
                </c:pt>
                <c:pt idx="176" formatCode="General">
                  <c:v>1284</c:v>
                </c:pt>
                <c:pt idx="177" formatCode="General">
                  <c:v>1146</c:v>
                </c:pt>
                <c:pt idx="178" formatCode="General">
                  <c:v>1108</c:v>
                </c:pt>
                <c:pt idx="179" formatCode="General">
                  <c:v>1156</c:v>
                </c:pt>
                <c:pt idx="180" formatCode="General">
                  <c:v>1091</c:v>
                </c:pt>
                <c:pt idx="181" formatCode="General">
                  <c:v>1100</c:v>
                </c:pt>
                <c:pt idx="182" formatCode="General">
                  <c:v>1101</c:v>
                </c:pt>
                <c:pt idx="183" formatCode="General">
                  <c:v>1156</c:v>
                </c:pt>
                <c:pt idx="184" formatCode="General">
                  <c:v>1149</c:v>
                </c:pt>
                <c:pt idx="185" formatCode="General">
                  <c:v>1325</c:v>
                </c:pt>
                <c:pt idx="186" formatCode="General">
                  <c:v>1364</c:v>
                </c:pt>
                <c:pt idx="187" formatCode="General">
                  <c:v>1472</c:v>
                </c:pt>
                <c:pt idx="188" formatCode="General">
                  <c:v>1325</c:v>
                </c:pt>
                <c:pt idx="189" formatCode="General">
                  <c:v>1355</c:v>
                </c:pt>
                <c:pt idx="190" formatCode="General">
                  <c:v>1384</c:v>
                </c:pt>
                <c:pt idx="191" formatCode="General">
                  <c:v>1403</c:v>
                </c:pt>
                <c:pt idx="192" formatCode="General">
                  <c:v>1402</c:v>
                </c:pt>
                <c:pt idx="193" formatCode="General">
                  <c:v>1286</c:v>
                </c:pt>
                <c:pt idx="194" formatCode="General">
                  <c:v>1234</c:v>
                </c:pt>
                <c:pt idx="195" formatCode="General">
                  <c:v>1261</c:v>
                </c:pt>
                <c:pt idx="196" formatCode="General">
                  <c:v>1382</c:v>
                </c:pt>
                <c:pt idx="197" formatCode="General">
                  <c:v>1503</c:v>
                </c:pt>
                <c:pt idx="198" formatCode="General">
                  <c:v>1483</c:v>
                </c:pt>
                <c:pt idx="199" formatCode="General">
                  <c:v>1438</c:v>
                </c:pt>
                <c:pt idx="200" formatCode="General">
                  <c:v>1429</c:v>
                </c:pt>
                <c:pt idx="201" formatCode="General">
                  <c:v>1378</c:v>
                </c:pt>
                <c:pt idx="202" formatCode="General">
                  <c:v>1529</c:v>
                </c:pt>
                <c:pt idx="203" formatCode="General">
                  <c:v>1541</c:v>
                </c:pt>
                <c:pt idx="204" formatCode="General">
                  <c:v>1412</c:v>
                </c:pt>
                <c:pt idx="205" formatCode="General">
                  <c:v>1367</c:v>
                </c:pt>
                <c:pt idx="206" formatCode="General">
                  <c:v>1346</c:v>
                </c:pt>
                <c:pt idx="207" formatCode="General">
                  <c:v>1398</c:v>
                </c:pt>
                <c:pt idx="208" formatCode="General">
                  <c:v>1387</c:v>
                </c:pt>
                <c:pt idx="209" formatCode="General">
                  <c:v>1494</c:v>
                </c:pt>
                <c:pt idx="210" formatCode="General">
                  <c:v>1641</c:v>
                </c:pt>
                <c:pt idx="211" formatCode="General">
                  <c:v>1678</c:v>
                </c:pt>
                <c:pt idx="212" formatCode="General">
                  <c:v>1485</c:v>
                </c:pt>
                <c:pt idx="213" formatCode="General">
                  <c:v>1560</c:v>
                </c:pt>
                <c:pt idx="214" formatCode="General">
                  <c:v>1572</c:v>
                </c:pt>
                <c:pt idx="215" formatCode="General">
                  <c:v>1565</c:v>
                </c:pt>
                <c:pt idx="216" formatCode="General">
                  <c:v>1573</c:v>
                </c:pt>
                <c:pt idx="217" formatCode="General">
                  <c:v>1628</c:v>
                </c:pt>
                <c:pt idx="218" formatCode="General">
                  <c:v>1753</c:v>
                </c:pt>
                <c:pt idx="219" formatCode="General">
                  <c:v>1871</c:v>
                </c:pt>
                <c:pt idx="220" formatCode="General">
                  <c:v>1814</c:v>
                </c:pt>
                <c:pt idx="221" formatCode="General">
                  <c:v>1947</c:v>
                </c:pt>
                <c:pt idx="222" formatCode="General">
                  <c:v>2021</c:v>
                </c:pt>
                <c:pt idx="223" formatCode="General">
                  <c:v>1988</c:v>
                </c:pt>
                <c:pt idx="224" formatCode="General">
                  <c:v>1995</c:v>
                </c:pt>
                <c:pt idx="225" formatCode="General">
                  <c:v>1970</c:v>
                </c:pt>
                <c:pt idx="226" formatCode="General">
                  <c:v>1902</c:v>
                </c:pt>
                <c:pt idx="227" formatCode="General">
                  <c:v>1816</c:v>
                </c:pt>
                <c:pt idx="228" formatCode="General">
                  <c:v>1705</c:v>
                </c:pt>
                <c:pt idx="229" formatCode="General">
                  <c:v>1709</c:v>
                </c:pt>
                <c:pt idx="230" formatCode="General">
                  <c:v>1632</c:v>
                </c:pt>
                <c:pt idx="231" formatCode="General">
                  <c:v>1667</c:v>
                </c:pt>
                <c:pt idx="232" formatCode="General">
                  <c:v>1665</c:v>
                </c:pt>
                <c:pt idx="233" formatCode="General">
                  <c:v>1775</c:v>
                </c:pt>
                <c:pt idx="234" formatCode="General">
                  <c:v>1919</c:v>
                </c:pt>
                <c:pt idx="235" formatCode="General">
                  <c:v>1953</c:v>
                </c:pt>
                <c:pt idx="236" formatCode="General">
                  <c:v>1924</c:v>
                </c:pt>
                <c:pt idx="237" formatCode="General">
                  <c:v>1862</c:v>
                </c:pt>
                <c:pt idx="238" formatCode="General">
                  <c:v>1877</c:v>
                </c:pt>
                <c:pt idx="239" formatCode="General">
                  <c:v>1804</c:v>
                </c:pt>
                <c:pt idx="240" formatCode="General">
                  <c:v>1733</c:v>
                </c:pt>
                <c:pt idx="241" formatCode="General">
                  <c:v>1655</c:v>
                </c:pt>
                <c:pt idx="242" formatCode="General">
                  <c:v>1643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F2-4439-907B-2DBC758769AE}"/>
            </c:ext>
          </c:extLst>
        </c:ser>
        <c:ser>
          <c:idx val="2"/>
          <c:order val="2"/>
          <c:tx>
            <c:strRef>
              <c:f>'Rental supply by price'!$E$7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'Rental supply by price'!$B$9:$B$251</c:f>
              <c:numCache>
                <c:formatCode>m/d/yy</c:formatCode>
                <c:ptCount val="243"/>
                <c:pt idx="0">
                  <c:v>43915.447916666664</c:v>
                </c:pt>
                <c:pt idx="1">
                  <c:v>43920.563888888886</c:v>
                </c:pt>
                <c:pt idx="2">
                  <c:v>43921.470833333333</c:v>
                </c:pt>
                <c:pt idx="3">
                  <c:v>43922.387499999997</c:v>
                </c:pt>
                <c:pt idx="4">
                  <c:v>43923.652777777781</c:v>
                </c:pt>
                <c:pt idx="5">
                  <c:v>43924.354166666664</c:v>
                </c:pt>
                <c:pt idx="6">
                  <c:v>43926.579861111109</c:v>
                </c:pt>
                <c:pt idx="7">
                  <c:v>43927.569444444445</c:v>
                </c:pt>
                <c:pt idx="8">
                  <c:v>43928.538194444445</c:v>
                </c:pt>
                <c:pt idx="9">
                  <c:v>43929.673611111109</c:v>
                </c:pt>
                <c:pt idx="10">
                  <c:v>43930.503472222219</c:v>
                </c:pt>
                <c:pt idx="11">
                  <c:v>43934.791666666664</c:v>
                </c:pt>
                <c:pt idx="12">
                  <c:v>43935.510416666664</c:v>
                </c:pt>
                <c:pt idx="13">
                  <c:v>43936.510416666664</c:v>
                </c:pt>
                <c:pt idx="14">
                  <c:v>43937.506249999999</c:v>
                </c:pt>
                <c:pt idx="15">
                  <c:v>43938.506249942133</c:v>
                </c:pt>
                <c:pt idx="16">
                  <c:v>43940.365277777775</c:v>
                </c:pt>
                <c:pt idx="17">
                  <c:v>43940.506944444445</c:v>
                </c:pt>
                <c:pt idx="18">
                  <c:v>43941.504861111112</c:v>
                </c:pt>
                <c:pt idx="19">
                  <c:v>43942.504861111112</c:v>
                </c:pt>
                <c:pt idx="20">
                  <c:v>43943.501388888886</c:v>
                </c:pt>
                <c:pt idx="21">
                  <c:v>43944.505555555559</c:v>
                </c:pt>
                <c:pt idx="22">
                  <c:v>43945.501388888886</c:v>
                </c:pt>
                <c:pt idx="23">
                  <c:v>43948.504166666666</c:v>
                </c:pt>
                <c:pt idx="24">
                  <c:v>43949.504166666666</c:v>
                </c:pt>
                <c:pt idx="25">
                  <c:v>43950.502083333333</c:v>
                </c:pt>
                <c:pt idx="26">
                  <c:v>43951.503472222219</c:v>
                </c:pt>
                <c:pt idx="27">
                  <c:v>43952.504166666666</c:v>
                </c:pt>
                <c:pt idx="28">
                  <c:v>43955.505555555559</c:v>
                </c:pt>
                <c:pt idx="29">
                  <c:v>43956.504166666666</c:v>
                </c:pt>
                <c:pt idx="30">
                  <c:v>43957.505555555559</c:v>
                </c:pt>
                <c:pt idx="31">
                  <c:v>43958.50277777778</c:v>
                </c:pt>
                <c:pt idx="32">
                  <c:v>43962.504166666666</c:v>
                </c:pt>
                <c:pt idx="33">
                  <c:v>43963.507638888892</c:v>
                </c:pt>
                <c:pt idx="34">
                  <c:v>43964.504861111112</c:v>
                </c:pt>
                <c:pt idx="35">
                  <c:v>43965.506249999999</c:v>
                </c:pt>
                <c:pt idx="36">
                  <c:v>43966.509722222225</c:v>
                </c:pt>
                <c:pt idx="37">
                  <c:v>43969.50277777778</c:v>
                </c:pt>
                <c:pt idx="38">
                  <c:v>43970.507638888892</c:v>
                </c:pt>
                <c:pt idx="39">
                  <c:v>43971.506249999999</c:v>
                </c:pt>
                <c:pt idx="40">
                  <c:v>43972.504166666666</c:v>
                </c:pt>
                <c:pt idx="41">
                  <c:v>43973.506249999999</c:v>
                </c:pt>
                <c:pt idx="42">
                  <c:v>43977.505555555559</c:v>
                </c:pt>
                <c:pt idx="43">
                  <c:v>43978.504166666666</c:v>
                </c:pt>
                <c:pt idx="44">
                  <c:v>43979.504861111112</c:v>
                </c:pt>
                <c:pt idx="45">
                  <c:v>43980.508333333331</c:v>
                </c:pt>
                <c:pt idx="46">
                  <c:v>43983.504166666666</c:v>
                </c:pt>
                <c:pt idx="47">
                  <c:v>43984.50277777778</c:v>
                </c:pt>
                <c:pt idx="48">
                  <c:v>43985.503472222219</c:v>
                </c:pt>
                <c:pt idx="49">
                  <c:v>43987.504166666666</c:v>
                </c:pt>
                <c:pt idx="50">
                  <c:v>43990.507638888892</c:v>
                </c:pt>
                <c:pt idx="51">
                  <c:v>43991.509722222225</c:v>
                </c:pt>
                <c:pt idx="52">
                  <c:v>43992.509027777778</c:v>
                </c:pt>
                <c:pt idx="53">
                  <c:v>43993.509722222225</c:v>
                </c:pt>
                <c:pt idx="54">
                  <c:v>43994.506944444445</c:v>
                </c:pt>
                <c:pt idx="55">
                  <c:v>43997.517361111109</c:v>
                </c:pt>
                <c:pt idx="56">
                  <c:v>43998.507638888892</c:v>
                </c:pt>
                <c:pt idx="57">
                  <c:v>43999.508333333331</c:v>
                </c:pt>
                <c:pt idx="58">
                  <c:v>44000.507638888892</c:v>
                </c:pt>
                <c:pt idx="59">
                  <c:v>44001.5</c:v>
                </c:pt>
                <c:pt idx="60">
                  <c:v>44004.5</c:v>
                </c:pt>
                <c:pt idx="61">
                  <c:v>44005.509722222225</c:v>
                </c:pt>
                <c:pt idx="62">
                  <c:v>44006.506944444445</c:v>
                </c:pt>
                <c:pt idx="63">
                  <c:v>44007.509722222225</c:v>
                </c:pt>
                <c:pt idx="64">
                  <c:v>44011.505555555559</c:v>
                </c:pt>
                <c:pt idx="65">
                  <c:v>44012.507638888892</c:v>
                </c:pt>
                <c:pt idx="66">
                  <c:v>44013.511111111111</c:v>
                </c:pt>
                <c:pt idx="67">
                  <c:v>44014.502083333333</c:v>
                </c:pt>
                <c:pt idx="68">
                  <c:v>44015.51458333333</c:v>
                </c:pt>
                <c:pt idx="69">
                  <c:v>44018.51458333333</c:v>
                </c:pt>
                <c:pt idx="70">
                  <c:v>44019.507638888892</c:v>
                </c:pt>
                <c:pt idx="71">
                  <c:v>44020.505555555559</c:v>
                </c:pt>
                <c:pt idx="72">
                  <c:v>44021.508333333331</c:v>
                </c:pt>
                <c:pt idx="73">
                  <c:v>44025.51458333333</c:v>
                </c:pt>
                <c:pt idx="74">
                  <c:v>44026.511805555558</c:v>
                </c:pt>
                <c:pt idx="75">
                  <c:v>44027.505555555559</c:v>
                </c:pt>
                <c:pt idx="76">
                  <c:v>44028.51458333333</c:v>
                </c:pt>
                <c:pt idx="77">
                  <c:v>44029.507638888892</c:v>
                </c:pt>
                <c:pt idx="78">
                  <c:v>44032.521527777775</c:v>
                </c:pt>
                <c:pt idx="79">
                  <c:v>44033.511805555558</c:v>
                </c:pt>
                <c:pt idx="80">
                  <c:v>44034.505555555559</c:v>
                </c:pt>
                <c:pt idx="81">
                  <c:v>44035.506249999999</c:v>
                </c:pt>
                <c:pt idx="82">
                  <c:v>44036.519444444442</c:v>
                </c:pt>
                <c:pt idx="83">
                  <c:v>44039.510416666664</c:v>
                </c:pt>
                <c:pt idx="84">
                  <c:v>44040.523611111108</c:v>
                </c:pt>
                <c:pt idx="85">
                  <c:v>44041.511805555558</c:v>
                </c:pt>
                <c:pt idx="86">
                  <c:v>44042.511111111111</c:v>
                </c:pt>
                <c:pt idx="87">
                  <c:v>44043.515277777777</c:v>
                </c:pt>
                <c:pt idx="88">
                  <c:v>44046.506249999999</c:v>
                </c:pt>
                <c:pt idx="89">
                  <c:v>44047.509722222225</c:v>
                </c:pt>
                <c:pt idx="90">
                  <c:v>44048.518055555556</c:v>
                </c:pt>
                <c:pt idx="91">
                  <c:v>44049.504166666666</c:v>
                </c:pt>
                <c:pt idx="92">
                  <c:v>44050.507638888892</c:v>
                </c:pt>
                <c:pt idx="93">
                  <c:v>44053.522916666669</c:v>
                </c:pt>
                <c:pt idx="94">
                  <c:v>44054.518750000003</c:v>
                </c:pt>
                <c:pt idx="95">
                  <c:v>44055.518055555556</c:v>
                </c:pt>
                <c:pt idx="96">
                  <c:v>44056.51666666667</c:v>
                </c:pt>
                <c:pt idx="97">
                  <c:v>44057.524305555555</c:v>
                </c:pt>
                <c:pt idx="98">
                  <c:v>44060.5</c:v>
                </c:pt>
                <c:pt idx="99">
                  <c:v>44061.515277777777</c:v>
                </c:pt>
                <c:pt idx="100">
                  <c:v>44062.501388888886</c:v>
                </c:pt>
                <c:pt idx="101">
                  <c:v>44064.5</c:v>
                </c:pt>
                <c:pt idx="102">
                  <c:v>44067.50277777778</c:v>
                </c:pt>
                <c:pt idx="103">
                  <c:v>44068.5</c:v>
                </c:pt>
                <c:pt idx="104">
                  <c:v>44082.52847222222</c:v>
                </c:pt>
                <c:pt idx="105">
                  <c:v>44096.5</c:v>
                </c:pt>
                <c:pt idx="106">
                  <c:v>44113.5</c:v>
                </c:pt>
                <c:pt idx="107">
                  <c:v>44124.5</c:v>
                </c:pt>
                <c:pt idx="108">
                  <c:v>44138.5</c:v>
                </c:pt>
                <c:pt idx="109">
                  <c:v>44152.5</c:v>
                </c:pt>
                <c:pt idx="110">
                  <c:v>44166.5</c:v>
                </c:pt>
                <c:pt idx="111">
                  <c:v>44180.5</c:v>
                </c:pt>
                <c:pt idx="112">
                  <c:v>44208.5</c:v>
                </c:pt>
                <c:pt idx="113">
                  <c:v>44222.5</c:v>
                </c:pt>
                <c:pt idx="114">
                  <c:v>44250</c:v>
                </c:pt>
                <c:pt idx="115">
                  <c:v>44264</c:v>
                </c:pt>
                <c:pt idx="116">
                  <c:v>44278</c:v>
                </c:pt>
                <c:pt idx="117">
                  <c:v>44292</c:v>
                </c:pt>
                <c:pt idx="118">
                  <c:v>44306</c:v>
                </c:pt>
                <c:pt idx="119">
                  <c:v>44320</c:v>
                </c:pt>
                <c:pt idx="120">
                  <c:v>44334</c:v>
                </c:pt>
                <c:pt idx="121">
                  <c:v>44348</c:v>
                </c:pt>
                <c:pt idx="122">
                  <c:v>44362</c:v>
                </c:pt>
                <c:pt idx="123">
                  <c:v>44376</c:v>
                </c:pt>
                <c:pt idx="124">
                  <c:v>44390</c:v>
                </c:pt>
                <c:pt idx="125">
                  <c:v>44404</c:v>
                </c:pt>
                <c:pt idx="126">
                  <c:v>44419</c:v>
                </c:pt>
                <c:pt idx="127">
                  <c:v>44432</c:v>
                </c:pt>
                <c:pt idx="128">
                  <c:v>44446</c:v>
                </c:pt>
                <c:pt idx="129">
                  <c:v>44460</c:v>
                </c:pt>
                <c:pt idx="130">
                  <c:v>44474</c:v>
                </c:pt>
                <c:pt idx="131">
                  <c:v>44488</c:v>
                </c:pt>
                <c:pt idx="132">
                  <c:v>44502</c:v>
                </c:pt>
                <c:pt idx="133">
                  <c:v>44516</c:v>
                </c:pt>
                <c:pt idx="134">
                  <c:v>44530</c:v>
                </c:pt>
                <c:pt idx="135">
                  <c:v>44544</c:v>
                </c:pt>
                <c:pt idx="136">
                  <c:v>44559</c:v>
                </c:pt>
                <c:pt idx="137">
                  <c:v>44572</c:v>
                </c:pt>
                <c:pt idx="138">
                  <c:v>44586</c:v>
                </c:pt>
                <c:pt idx="139">
                  <c:v>44600</c:v>
                </c:pt>
                <c:pt idx="140">
                  <c:v>44614</c:v>
                </c:pt>
                <c:pt idx="141">
                  <c:v>44628</c:v>
                </c:pt>
                <c:pt idx="142">
                  <c:v>44642</c:v>
                </c:pt>
                <c:pt idx="143">
                  <c:v>44656</c:v>
                </c:pt>
                <c:pt idx="144">
                  <c:v>44670</c:v>
                </c:pt>
                <c:pt idx="145">
                  <c:v>44684</c:v>
                </c:pt>
                <c:pt idx="146">
                  <c:v>44698</c:v>
                </c:pt>
                <c:pt idx="147">
                  <c:v>44712</c:v>
                </c:pt>
                <c:pt idx="148">
                  <c:v>44726</c:v>
                </c:pt>
                <c:pt idx="149">
                  <c:v>44740</c:v>
                </c:pt>
                <c:pt idx="150">
                  <c:v>44754</c:v>
                </c:pt>
                <c:pt idx="151">
                  <c:v>44768</c:v>
                </c:pt>
                <c:pt idx="152">
                  <c:v>44782</c:v>
                </c:pt>
                <c:pt idx="153">
                  <c:v>44796</c:v>
                </c:pt>
                <c:pt idx="154">
                  <c:v>44810</c:v>
                </c:pt>
                <c:pt idx="155">
                  <c:v>44824</c:v>
                </c:pt>
                <c:pt idx="156">
                  <c:v>44838</c:v>
                </c:pt>
                <c:pt idx="157">
                  <c:v>44853</c:v>
                </c:pt>
                <c:pt idx="158">
                  <c:v>44866</c:v>
                </c:pt>
                <c:pt idx="159">
                  <c:v>44880</c:v>
                </c:pt>
                <c:pt idx="160">
                  <c:v>44894</c:v>
                </c:pt>
                <c:pt idx="161">
                  <c:v>44908</c:v>
                </c:pt>
                <c:pt idx="162">
                  <c:v>44925</c:v>
                </c:pt>
                <c:pt idx="163">
                  <c:v>44936</c:v>
                </c:pt>
                <c:pt idx="164">
                  <c:v>44950</c:v>
                </c:pt>
                <c:pt idx="165">
                  <c:v>44964</c:v>
                </c:pt>
                <c:pt idx="166">
                  <c:v>44978</c:v>
                </c:pt>
                <c:pt idx="167">
                  <c:v>44992</c:v>
                </c:pt>
                <c:pt idx="168">
                  <c:v>45006</c:v>
                </c:pt>
                <c:pt idx="169">
                  <c:v>45020</c:v>
                </c:pt>
                <c:pt idx="170">
                  <c:v>45034</c:v>
                </c:pt>
                <c:pt idx="171">
                  <c:v>45048</c:v>
                </c:pt>
                <c:pt idx="172">
                  <c:v>45062</c:v>
                </c:pt>
                <c:pt idx="173">
                  <c:v>45076</c:v>
                </c:pt>
                <c:pt idx="174">
                  <c:v>45090</c:v>
                </c:pt>
                <c:pt idx="175">
                  <c:v>45104</c:v>
                </c:pt>
                <c:pt idx="176">
                  <c:v>45118</c:v>
                </c:pt>
                <c:pt idx="177">
                  <c:v>45132</c:v>
                </c:pt>
                <c:pt idx="178">
                  <c:v>45146</c:v>
                </c:pt>
                <c:pt idx="179">
                  <c:v>45160</c:v>
                </c:pt>
                <c:pt idx="180">
                  <c:v>45174</c:v>
                </c:pt>
                <c:pt idx="181">
                  <c:v>45188</c:v>
                </c:pt>
                <c:pt idx="182">
                  <c:v>45202</c:v>
                </c:pt>
                <c:pt idx="183">
                  <c:v>45216</c:v>
                </c:pt>
                <c:pt idx="184">
                  <c:v>45230</c:v>
                </c:pt>
                <c:pt idx="185">
                  <c:v>45244</c:v>
                </c:pt>
                <c:pt idx="186">
                  <c:v>45258</c:v>
                </c:pt>
                <c:pt idx="187">
                  <c:v>45273</c:v>
                </c:pt>
                <c:pt idx="188">
                  <c:v>45292</c:v>
                </c:pt>
                <c:pt idx="189">
                  <c:v>45300</c:v>
                </c:pt>
                <c:pt idx="190">
                  <c:v>45314</c:v>
                </c:pt>
                <c:pt idx="191">
                  <c:v>45328</c:v>
                </c:pt>
                <c:pt idx="192">
                  <c:v>45342</c:v>
                </c:pt>
                <c:pt idx="193">
                  <c:v>45356</c:v>
                </c:pt>
                <c:pt idx="194">
                  <c:v>45370</c:v>
                </c:pt>
                <c:pt idx="195">
                  <c:v>45384</c:v>
                </c:pt>
                <c:pt idx="196">
                  <c:v>45396</c:v>
                </c:pt>
                <c:pt idx="197">
                  <c:v>45426</c:v>
                </c:pt>
                <c:pt idx="198">
                  <c:v>45440</c:v>
                </c:pt>
                <c:pt idx="199">
                  <c:v>45454</c:v>
                </c:pt>
                <c:pt idx="200">
                  <c:v>45468</c:v>
                </c:pt>
                <c:pt idx="201">
                  <c:v>45482</c:v>
                </c:pt>
                <c:pt idx="202">
                  <c:v>45496</c:v>
                </c:pt>
                <c:pt idx="203">
                  <c:v>45510</c:v>
                </c:pt>
                <c:pt idx="204">
                  <c:v>45524</c:v>
                </c:pt>
                <c:pt idx="205">
                  <c:v>45552</c:v>
                </c:pt>
                <c:pt idx="206">
                  <c:v>45566</c:v>
                </c:pt>
                <c:pt idx="207">
                  <c:v>45580</c:v>
                </c:pt>
                <c:pt idx="208">
                  <c:v>45594</c:v>
                </c:pt>
                <c:pt idx="209">
                  <c:v>45608</c:v>
                </c:pt>
                <c:pt idx="210">
                  <c:v>45622</c:v>
                </c:pt>
                <c:pt idx="211">
                  <c:v>45636</c:v>
                </c:pt>
                <c:pt idx="212">
                  <c:v>45650</c:v>
                </c:pt>
                <c:pt idx="213">
                  <c:v>45664</c:v>
                </c:pt>
                <c:pt idx="214">
                  <c:v>45678</c:v>
                </c:pt>
                <c:pt idx="215">
                  <c:v>45692</c:v>
                </c:pt>
                <c:pt idx="216">
                  <c:v>45706</c:v>
                </c:pt>
                <c:pt idx="217">
                  <c:v>45720</c:v>
                </c:pt>
                <c:pt idx="218">
                  <c:v>45734</c:v>
                </c:pt>
                <c:pt idx="219">
                  <c:v>45748</c:v>
                </c:pt>
                <c:pt idx="220">
                  <c:v>45762</c:v>
                </c:pt>
                <c:pt idx="221">
                  <c:v>45783</c:v>
                </c:pt>
                <c:pt idx="222">
                  <c:v>45790</c:v>
                </c:pt>
                <c:pt idx="223">
                  <c:v>45804</c:v>
                </c:pt>
                <c:pt idx="224">
                  <c:v>45818</c:v>
                </c:pt>
                <c:pt idx="225">
                  <c:v>45832</c:v>
                </c:pt>
                <c:pt idx="226">
                  <c:v>45846</c:v>
                </c:pt>
                <c:pt idx="227">
                  <c:v>45860</c:v>
                </c:pt>
                <c:pt idx="228">
                  <c:v>45874</c:v>
                </c:pt>
                <c:pt idx="229">
                  <c:v>45888</c:v>
                </c:pt>
                <c:pt idx="230">
                  <c:v>45902</c:v>
                </c:pt>
                <c:pt idx="231">
                  <c:v>45916</c:v>
                </c:pt>
                <c:pt idx="232">
                  <c:v>45930</c:v>
                </c:pt>
                <c:pt idx="233">
                  <c:v>45944</c:v>
                </c:pt>
                <c:pt idx="234">
                  <c:v>45958</c:v>
                </c:pt>
                <c:pt idx="235">
                  <c:v>45986</c:v>
                </c:pt>
                <c:pt idx="236">
                  <c:v>46000</c:v>
                </c:pt>
                <c:pt idx="237">
                  <c:v>46021</c:v>
                </c:pt>
                <c:pt idx="238">
                  <c:v>46028</c:v>
                </c:pt>
                <c:pt idx="239">
                  <c:v>46042</c:v>
                </c:pt>
                <c:pt idx="240">
                  <c:v>46056</c:v>
                </c:pt>
                <c:pt idx="241">
                  <c:v>46070</c:v>
                </c:pt>
                <c:pt idx="242">
                  <c:v>46084</c:v>
                </c:pt>
              </c:numCache>
            </c:numRef>
          </c:cat>
          <c:val>
            <c:numRef>
              <c:f>'Rental supply by price'!$E$9:$E$251</c:f>
              <c:numCache>
                <c:formatCode>#,##0</c:formatCode>
                <c:ptCount val="243"/>
                <c:pt idx="0">
                  <c:v>3435</c:v>
                </c:pt>
                <c:pt idx="1">
                  <c:v>3371</c:v>
                </c:pt>
                <c:pt idx="2">
                  <c:v>3382</c:v>
                </c:pt>
                <c:pt idx="3">
                  <c:v>3378</c:v>
                </c:pt>
                <c:pt idx="4">
                  <c:v>3419</c:v>
                </c:pt>
                <c:pt idx="5">
                  <c:v>3423</c:v>
                </c:pt>
                <c:pt idx="6">
                  <c:v>3458</c:v>
                </c:pt>
                <c:pt idx="7">
                  <c:v>3469</c:v>
                </c:pt>
                <c:pt idx="8">
                  <c:v>3483</c:v>
                </c:pt>
                <c:pt idx="9">
                  <c:v>3518</c:v>
                </c:pt>
                <c:pt idx="10">
                  <c:v>3522</c:v>
                </c:pt>
                <c:pt idx="11">
                  <c:v>3552</c:v>
                </c:pt>
                <c:pt idx="12">
                  <c:v>3554</c:v>
                </c:pt>
                <c:pt idx="13">
                  <c:v>3590</c:v>
                </c:pt>
                <c:pt idx="14">
                  <c:v>3613</c:v>
                </c:pt>
                <c:pt idx="15">
                  <c:v>3641</c:v>
                </c:pt>
                <c:pt idx="16">
                  <c:v>3676</c:v>
                </c:pt>
                <c:pt idx="17">
                  <c:v>3676</c:v>
                </c:pt>
                <c:pt idx="18">
                  <c:v>3679</c:v>
                </c:pt>
                <c:pt idx="19">
                  <c:v>3667</c:v>
                </c:pt>
                <c:pt idx="20">
                  <c:v>3681</c:v>
                </c:pt>
                <c:pt idx="21">
                  <c:v>3713</c:v>
                </c:pt>
                <c:pt idx="22">
                  <c:v>3743</c:v>
                </c:pt>
                <c:pt idx="23">
                  <c:v>3788</c:v>
                </c:pt>
                <c:pt idx="24">
                  <c:v>3809</c:v>
                </c:pt>
                <c:pt idx="25">
                  <c:v>3819</c:v>
                </c:pt>
                <c:pt idx="26">
                  <c:v>3841</c:v>
                </c:pt>
                <c:pt idx="27">
                  <c:v>3886</c:v>
                </c:pt>
                <c:pt idx="28">
                  <c:v>3881</c:v>
                </c:pt>
                <c:pt idx="29">
                  <c:v>3903</c:v>
                </c:pt>
                <c:pt idx="30">
                  <c:v>3956</c:v>
                </c:pt>
                <c:pt idx="31">
                  <c:v>3992</c:v>
                </c:pt>
                <c:pt idx="32">
                  <c:v>4043</c:v>
                </c:pt>
                <c:pt idx="33" formatCode="General">
                  <c:v>4076</c:v>
                </c:pt>
                <c:pt idx="34" formatCode="General">
                  <c:v>4129</c:v>
                </c:pt>
                <c:pt idx="35">
                  <c:v>4183</c:v>
                </c:pt>
                <c:pt idx="36">
                  <c:v>4254</c:v>
                </c:pt>
                <c:pt idx="37">
                  <c:v>4151</c:v>
                </c:pt>
                <c:pt idx="38">
                  <c:v>4191</c:v>
                </c:pt>
                <c:pt idx="39">
                  <c:v>4232</c:v>
                </c:pt>
                <c:pt idx="40">
                  <c:v>4291</c:v>
                </c:pt>
                <c:pt idx="41">
                  <c:v>4308</c:v>
                </c:pt>
                <c:pt idx="42">
                  <c:v>4330</c:v>
                </c:pt>
                <c:pt idx="43">
                  <c:v>4336</c:v>
                </c:pt>
                <c:pt idx="44">
                  <c:v>4393</c:v>
                </c:pt>
                <c:pt idx="45">
                  <c:v>4442</c:v>
                </c:pt>
                <c:pt idx="46">
                  <c:v>4397</c:v>
                </c:pt>
                <c:pt idx="47">
                  <c:v>4429</c:v>
                </c:pt>
                <c:pt idx="48">
                  <c:v>4504</c:v>
                </c:pt>
                <c:pt idx="49">
                  <c:v>4594</c:v>
                </c:pt>
                <c:pt idx="50">
                  <c:v>4632</c:v>
                </c:pt>
                <c:pt idx="51">
                  <c:v>4686</c:v>
                </c:pt>
                <c:pt idx="52">
                  <c:v>4761</c:v>
                </c:pt>
                <c:pt idx="53">
                  <c:v>4825</c:v>
                </c:pt>
                <c:pt idx="54">
                  <c:v>4835</c:v>
                </c:pt>
                <c:pt idx="55">
                  <c:v>4834</c:v>
                </c:pt>
                <c:pt idx="56">
                  <c:v>4873</c:v>
                </c:pt>
                <c:pt idx="57">
                  <c:v>4900</c:v>
                </c:pt>
                <c:pt idx="58">
                  <c:v>4939</c:v>
                </c:pt>
                <c:pt idx="59">
                  <c:v>4932</c:v>
                </c:pt>
                <c:pt idx="60">
                  <c:v>4921</c:v>
                </c:pt>
                <c:pt idx="61">
                  <c:v>4995</c:v>
                </c:pt>
                <c:pt idx="62">
                  <c:v>5016</c:v>
                </c:pt>
                <c:pt idx="63">
                  <c:v>5072</c:v>
                </c:pt>
                <c:pt idx="64">
                  <c:v>5124</c:v>
                </c:pt>
                <c:pt idx="65">
                  <c:v>5192</c:v>
                </c:pt>
                <c:pt idx="66">
                  <c:v>5281</c:v>
                </c:pt>
                <c:pt idx="67">
                  <c:v>5343</c:v>
                </c:pt>
                <c:pt idx="68">
                  <c:v>5422</c:v>
                </c:pt>
                <c:pt idx="69">
                  <c:v>5409</c:v>
                </c:pt>
                <c:pt idx="70">
                  <c:v>5452</c:v>
                </c:pt>
                <c:pt idx="71">
                  <c:v>5462</c:v>
                </c:pt>
                <c:pt idx="72">
                  <c:v>5498</c:v>
                </c:pt>
                <c:pt idx="73">
                  <c:v>5505</c:v>
                </c:pt>
                <c:pt idx="74">
                  <c:v>5519</c:v>
                </c:pt>
                <c:pt idx="75">
                  <c:v>5549</c:v>
                </c:pt>
                <c:pt idx="76">
                  <c:v>5547</c:v>
                </c:pt>
                <c:pt idx="77">
                  <c:v>5541</c:v>
                </c:pt>
                <c:pt idx="78">
                  <c:v>5489</c:v>
                </c:pt>
                <c:pt idx="79">
                  <c:v>5465</c:v>
                </c:pt>
                <c:pt idx="80">
                  <c:v>5482</c:v>
                </c:pt>
                <c:pt idx="81">
                  <c:v>5496</c:v>
                </c:pt>
                <c:pt idx="82">
                  <c:v>5493</c:v>
                </c:pt>
                <c:pt idx="83">
                  <c:v>5480</c:v>
                </c:pt>
                <c:pt idx="84">
                  <c:v>5463</c:v>
                </c:pt>
                <c:pt idx="85">
                  <c:v>5466</c:v>
                </c:pt>
                <c:pt idx="86">
                  <c:v>5468</c:v>
                </c:pt>
                <c:pt idx="87">
                  <c:v>5454</c:v>
                </c:pt>
                <c:pt idx="88">
                  <c:v>5377</c:v>
                </c:pt>
                <c:pt idx="89">
                  <c:v>5424</c:v>
                </c:pt>
                <c:pt idx="90">
                  <c:v>5473</c:v>
                </c:pt>
                <c:pt idx="91">
                  <c:v>5530</c:v>
                </c:pt>
                <c:pt idx="92">
                  <c:v>5533</c:v>
                </c:pt>
                <c:pt idx="93">
                  <c:v>5514</c:v>
                </c:pt>
                <c:pt idx="94">
                  <c:v>5500</c:v>
                </c:pt>
                <c:pt idx="95">
                  <c:v>5500</c:v>
                </c:pt>
                <c:pt idx="96">
                  <c:v>5548</c:v>
                </c:pt>
                <c:pt idx="97">
                  <c:v>5556</c:v>
                </c:pt>
                <c:pt idx="98">
                  <c:v>5523</c:v>
                </c:pt>
                <c:pt idx="99">
                  <c:v>5489</c:v>
                </c:pt>
                <c:pt idx="100">
                  <c:v>5512</c:v>
                </c:pt>
                <c:pt idx="101">
                  <c:v>5434</c:v>
                </c:pt>
                <c:pt idx="102">
                  <c:v>5425</c:v>
                </c:pt>
                <c:pt idx="103">
                  <c:v>5388</c:v>
                </c:pt>
                <c:pt idx="104">
                  <c:v>5313</c:v>
                </c:pt>
                <c:pt idx="105">
                  <c:v>5341</c:v>
                </c:pt>
                <c:pt idx="106">
                  <c:v>5557</c:v>
                </c:pt>
                <c:pt idx="107">
                  <c:v>5881</c:v>
                </c:pt>
                <c:pt idx="108">
                  <c:v>6433</c:v>
                </c:pt>
                <c:pt idx="109">
                  <c:v>6819</c:v>
                </c:pt>
                <c:pt idx="110">
                  <c:v>6716</c:v>
                </c:pt>
                <c:pt idx="111">
                  <c:v>6688</c:v>
                </c:pt>
                <c:pt idx="112">
                  <c:v>6499</c:v>
                </c:pt>
                <c:pt idx="113">
                  <c:v>6539</c:v>
                </c:pt>
                <c:pt idx="114">
                  <c:v>7063</c:v>
                </c:pt>
                <c:pt idx="115">
                  <c:v>7004</c:v>
                </c:pt>
                <c:pt idx="116">
                  <c:v>6944</c:v>
                </c:pt>
                <c:pt idx="117" formatCode="General">
                  <c:v>6631</c:v>
                </c:pt>
                <c:pt idx="118" formatCode="General">
                  <c:v>6739</c:v>
                </c:pt>
                <c:pt idx="119" formatCode="General">
                  <c:v>6546</c:v>
                </c:pt>
                <c:pt idx="120" formatCode="General">
                  <c:v>6341</c:v>
                </c:pt>
                <c:pt idx="121" formatCode="General">
                  <c:v>6170</c:v>
                </c:pt>
                <c:pt idx="122" formatCode="General">
                  <c:v>6165</c:v>
                </c:pt>
                <c:pt idx="123" formatCode="General">
                  <c:v>5883</c:v>
                </c:pt>
                <c:pt idx="124" formatCode="General">
                  <c:v>5816</c:v>
                </c:pt>
                <c:pt idx="125" formatCode="General">
                  <c:v>5500</c:v>
                </c:pt>
                <c:pt idx="126" formatCode="General">
                  <c:v>4811</c:v>
                </c:pt>
                <c:pt idx="127" formatCode="General">
                  <c:v>4194</c:v>
                </c:pt>
                <c:pt idx="128" formatCode="General">
                  <c:v>3738</c:v>
                </c:pt>
                <c:pt idx="129" formatCode="General">
                  <c:v>3388</c:v>
                </c:pt>
                <c:pt idx="130" formatCode="General">
                  <c:v>3109</c:v>
                </c:pt>
                <c:pt idx="131" formatCode="General">
                  <c:v>2827</c:v>
                </c:pt>
                <c:pt idx="132" formatCode="General">
                  <c:v>2605</c:v>
                </c:pt>
                <c:pt idx="133" formatCode="General">
                  <c:v>2484</c:v>
                </c:pt>
                <c:pt idx="134" formatCode="General">
                  <c:v>2334</c:v>
                </c:pt>
                <c:pt idx="135" formatCode="General">
                  <c:v>2231</c:v>
                </c:pt>
                <c:pt idx="136" formatCode="General">
                  <c:v>2085</c:v>
                </c:pt>
                <c:pt idx="137" formatCode="General">
                  <c:v>2171</c:v>
                </c:pt>
                <c:pt idx="138" formatCode="General">
                  <c:v>1959</c:v>
                </c:pt>
                <c:pt idx="139" formatCode="General">
                  <c:v>1718</c:v>
                </c:pt>
                <c:pt idx="140" formatCode="General">
                  <c:v>1619</c:v>
                </c:pt>
                <c:pt idx="141" formatCode="General">
                  <c:v>1428</c:v>
                </c:pt>
                <c:pt idx="142" formatCode="General">
                  <c:v>1341</c:v>
                </c:pt>
                <c:pt idx="143" formatCode="General">
                  <c:v>1233</c:v>
                </c:pt>
                <c:pt idx="144" formatCode="General">
                  <c:v>1161</c:v>
                </c:pt>
                <c:pt idx="145" formatCode="General">
                  <c:v>1154</c:v>
                </c:pt>
                <c:pt idx="146" formatCode="General">
                  <c:v>1115</c:v>
                </c:pt>
                <c:pt idx="147" formatCode="General">
                  <c:v>1056</c:v>
                </c:pt>
                <c:pt idx="148" formatCode="General">
                  <c:v>1061</c:v>
                </c:pt>
                <c:pt idx="149" formatCode="General">
                  <c:v>1185</c:v>
                </c:pt>
                <c:pt idx="150" formatCode="General">
                  <c:v>1098</c:v>
                </c:pt>
                <c:pt idx="151" formatCode="General">
                  <c:v>1015</c:v>
                </c:pt>
                <c:pt idx="152" formatCode="General">
                  <c:v>887</c:v>
                </c:pt>
                <c:pt idx="153" formatCode="General">
                  <c:v>690</c:v>
                </c:pt>
                <c:pt idx="154" formatCode="General">
                  <c:v>565</c:v>
                </c:pt>
                <c:pt idx="155" formatCode="General">
                  <c:v>478</c:v>
                </c:pt>
                <c:pt idx="156" formatCode="General">
                  <c:v>440</c:v>
                </c:pt>
                <c:pt idx="157" formatCode="General">
                  <c:v>413</c:v>
                </c:pt>
                <c:pt idx="158" formatCode="General">
                  <c:v>398</c:v>
                </c:pt>
                <c:pt idx="159" formatCode="General">
                  <c:v>392</c:v>
                </c:pt>
                <c:pt idx="160" formatCode="General">
                  <c:v>413</c:v>
                </c:pt>
                <c:pt idx="161" formatCode="General">
                  <c:v>447</c:v>
                </c:pt>
                <c:pt idx="162" formatCode="General">
                  <c:v>413</c:v>
                </c:pt>
                <c:pt idx="163" formatCode="General">
                  <c:v>474</c:v>
                </c:pt>
                <c:pt idx="164" formatCode="General">
                  <c:v>433</c:v>
                </c:pt>
                <c:pt idx="165" formatCode="General">
                  <c:v>317</c:v>
                </c:pt>
                <c:pt idx="166" formatCode="General">
                  <c:v>274</c:v>
                </c:pt>
                <c:pt idx="167" formatCode="General">
                  <c:v>252</c:v>
                </c:pt>
                <c:pt idx="168" formatCode="General">
                  <c:v>253</c:v>
                </c:pt>
                <c:pt idx="169" formatCode="General">
                  <c:v>233</c:v>
                </c:pt>
                <c:pt idx="170" formatCode="General">
                  <c:v>243</c:v>
                </c:pt>
                <c:pt idx="171" formatCode="General">
                  <c:v>219</c:v>
                </c:pt>
                <c:pt idx="172" formatCode="General">
                  <c:v>232</c:v>
                </c:pt>
                <c:pt idx="173" formatCode="General">
                  <c:v>213</c:v>
                </c:pt>
                <c:pt idx="174" formatCode="General">
                  <c:v>202</c:v>
                </c:pt>
                <c:pt idx="175" formatCode="General">
                  <c:v>206</c:v>
                </c:pt>
                <c:pt idx="176" formatCode="General">
                  <c:v>182</c:v>
                </c:pt>
                <c:pt idx="177" formatCode="General">
                  <c:v>171</c:v>
                </c:pt>
                <c:pt idx="178" formatCode="General">
                  <c:v>181</c:v>
                </c:pt>
                <c:pt idx="179" formatCode="General">
                  <c:v>157</c:v>
                </c:pt>
                <c:pt idx="180" formatCode="General">
                  <c:v>156</c:v>
                </c:pt>
                <c:pt idx="181" formatCode="General">
                  <c:v>135</c:v>
                </c:pt>
                <c:pt idx="182" formatCode="General">
                  <c:v>131</c:v>
                </c:pt>
                <c:pt idx="183" formatCode="General">
                  <c:v>128</c:v>
                </c:pt>
                <c:pt idx="184" formatCode="General">
                  <c:v>120</c:v>
                </c:pt>
                <c:pt idx="185" formatCode="General">
                  <c:v>156</c:v>
                </c:pt>
                <c:pt idx="186" formatCode="General">
                  <c:v>160</c:v>
                </c:pt>
                <c:pt idx="187" formatCode="General">
                  <c:v>182</c:v>
                </c:pt>
                <c:pt idx="188" formatCode="General">
                  <c:v>111</c:v>
                </c:pt>
                <c:pt idx="189" formatCode="General">
                  <c:v>134</c:v>
                </c:pt>
                <c:pt idx="190" formatCode="General">
                  <c:v>140</c:v>
                </c:pt>
                <c:pt idx="191" formatCode="General">
                  <c:v>130</c:v>
                </c:pt>
                <c:pt idx="192" formatCode="General">
                  <c:v>135</c:v>
                </c:pt>
                <c:pt idx="193" formatCode="General">
                  <c:v>123</c:v>
                </c:pt>
                <c:pt idx="194" formatCode="General">
                  <c:v>114</c:v>
                </c:pt>
                <c:pt idx="195" formatCode="General">
                  <c:v>113</c:v>
                </c:pt>
                <c:pt idx="196" formatCode="General">
                  <c:v>131</c:v>
                </c:pt>
                <c:pt idx="197" formatCode="General">
                  <c:v>121</c:v>
                </c:pt>
                <c:pt idx="198" formatCode="General">
                  <c:v>113</c:v>
                </c:pt>
                <c:pt idx="199" formatCode="General">
                  <c:v>123</c:v>
                </c:pt>
                <c:pt idx="200" formatCode="General">
                  <c:v>128</c:v>
                </c:pt>
                <c:pt idx="201" formatCode="General">
                  <c:v>129</c:v>
                </c:pt>
                <c:pt idx="202" formatCode="General">
                  <c:v>122</c:v>
                </c:pt>
                <c:pt idx="203" formatCode="General">
                  <c:v>118</c:v>
                </c:pt>
                <c:pt idx="204" formatCode="General">
                  <c:v>107</c:v>
                </c:pt>
                <c:pt idx="205" formatCode="General">
                  <c:v>117</c:v>
                </c:pt>
                <c:pt idx="206" formatCode="General">
                  <c:v>117</c:v>
                </c:pt>
                <c:pt idx="207" formatCode="General">
                  <c:v>122</c:v>
                </c:pt>
                <c:pt idx="208" formatCode="General">
                  <c:v>118</c:v>
                </c:pt>
                <c:pt idx="209" formatCode="General">
                  <c:v>131</c:v>
                </c:pt>
                <c:pt idx="210" formatCode="General">
                  <c:v>130</c:v>
                </c:pt>
                <c:pt idx="211" formatCode="General">
                  <c:v>162</c:v>
                </c:pt>
                <c:pt idx="212" formatCode="General">
                  <c:v>119</c:v>
                </c:pt>
                <c:pt idx="213" formatCode="General">
                  <c:v>129</c:v>
                </c:pt>
                <c:pt idx="214" formatCode="General">
                  <c:v>121</c:v>
                </c:pt>
                <c:pt idx="215" formatCode="General">
                  <c:v>115</c:v>
                </c:pt>
                <c:pt idx="216" formatCode="General">
                  <c:v>96</c:v>
                </c:pt>
                <c:pt idx="217" formatCode="General">
                  <c:v>113</c:v>
                </c:pt>
                <c:pt idx="218" formatCode="General">
                  <c:v>142</c:v>
                </c:pt>
                <c:pt idx="219" formatCode="General">
                  <c:v>133</c:v>
                </c:pt>
                <c:pt idx="220" formatCode="General">
                  <c:v>126</c:v>
                </c:pt>
                <c:pt idx="221" formatCode="General">
                  <c:v>134</c:v>
                </c:pt>
                <c:pt idx="222" formatCode="General">
                  <c:v>145</c:v>
                </c:pt>
                <c:pt idx="223" formatCode="General">
                  <c:v>138</c:v>
                </c:pt>
                <c:pt idx="224" formatCode="General">
                  <c:v>133</c:v>
                </c:pt>
                <c:pt idx="225" formatCode="General">
                  <c:v>140</c:v>
                </c:pt>
                <c:pt idx="226" formatCode="General">
                  <c:v>130</c:v>
                </c:pt>
                <c:pt idx="227" formatCode="General">
                  <c:v>116</c:v>
                </c:pt>
                <c:pt idx="228" formatCode="General">
                  <c:v>143</c:v>
                </c:pt>
                <c:pt idx="229" formatCode="General">
                  <c:v>128</c:v>
                </c:pt>
                <c:pt idx="230" formatCode="General">
                  <c:v>113</c:v>
                </c:pt>
                <c:pt idx="231" formatCode="General">
                  <c:v>141</c:v>
                </c:pt>
                <c:pt idx="232" formatCode="General">
                  <c:v>153</c:v>
                </c:pt>
                <c:pt idx="233" formatCode="General">
                  <c:v>176</c:v>
                </c:pt>
                <c:pt idx="234" formatCode="General">
                  <c:v>186</c:v>
                </c:pt>
                <c:pt idx="235" formatCode="General">
                  <c:v>184</c:v>
                </c:pt>
                <c:pt idx="236" formatCode="General">
                  <c:v>181</c:v>
                </c:pt>
                <c:pt idx="237" formatCode="General">
                  <c:v>141</c:v>
                </c:pt>
                <c:pt idx="238" formatCode="General">
                  <c:v>161</c:v>
                </c:pt>
                <c:pt idx="239" formatCode="General">
                  <c:v>147</c:v>
                </c:pt>
                <c:pt idx="240" formatCode="General">
                  <c:v>140</c:v>
                </c:pt>
                <c:pt idx="241" formatCode="General">
                  <c:v>141</c:v>
                </c:pt>
                <c:pt idx="242" formatCode="General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F2-4439-907B-2DBC758769AE}"/>
            </c:ext>
          </c:extLst>
        </c:ser>
        <c:ser>
          <c:idx val="3"/>
          <c:order val="3"/>
          <c:tx>
            <c:strRef>
              <c:f>'Rental supply by price'!$F$7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'Rental supply by price'!$B$9:$B$251</c:f>
              <c:numCache>
                <c:formatCode>m/d/yy</c:formatCode>
                <c:ptCount val="243"/>
                <c:pt idx="0">
                  <c:v>43915.447916666664</c:v>
                </c:pt>
                <c:pt idx="1">
                  <c:v>43920.563888888886</c:v>
                </c:pt>
                <c:pt idx="2">
                  <c:v>43921.470833333333</c:v>
                </c:pt>
                <c:pt idx="3">
                  <c:v>43922.387499999997</c:v>
                </c:pt>
                <c:pt idx="4">
                  <c:v>43923.652777777781</c:v>
                </c:pt>
                <c:pt idx="5">
                  <c:v>43924.354166666664</c:v>
                </c:pt>
                <c:pt idx="6">
                  <c:v>43926.579861111109</c:v>
                </c:pt>
                <c:pt idx="7">
                  <c:v>43927.569444444445</c:v>
                </c:pt>
                <c:pt idx="8">
                  <c:v>43928.538194444445</c:v>
                </c:pt>
                <c:pt idx="9">
                  <c:v>43929.673611111109</c:v>
                </c:pt>
                <c:pt idx="10">
                  <c:v>43930.503472222219</c:v>
                </c:pt>
                <c:pt idx="11">
                  <c:v>43934.791666666664</c:v>
                </c:pt>
                <c:pt idx="12">
                  <c:v>43935.510416666664</c:v>
                </c:pt>
                <c:pt idx="13">
                  <c:v>43936.510416666664</c:v>
                </c:pt>
                <c:pt idx="14">
                  <c:v>43937.506249999999</c:v>
                </c:pt>
                <c:pt idx="15">
                  <c:v>43938.506249942133</c:v>
                </c:pt>
                <c:pt idx="16">
                  <c:v>43940.365277777775</c:v>
                </c:pt>
                <c:pt idx="17">
                  <c:v>43940.506944444445</c:v>
                </c:pt>
                <c:pt idx="18">
                  <c:v>43941.504861111112</c:v>
                </c:pt>
                <c:pt idx="19">
                  <c:v>43942.504861111112</c:v>
                </c:pt>
                <c:pt idx="20">
                  <c:v>43943.501388888886</c:v>
                </c:pt>
                <c:pt idx="21">
                  <c:v>43944.505555555559</c:v>
                </c:pt>
                <c:pt idx="22">
                  <c:v>43945.501388888886</c:v>
                </c:pt>
                <c:pt idx="23">
                  <c:v>43948.504166666666</c:v>
                </c:pt>
                <c:pt idx="24">
                  <c:v>43949.504166666666</c:v>
                </c:pt>
                <c:pt idx="25">
                  <c:v>43950.502083333333</c:v>
                </c:pt>
                <c:pt idx="26">
                  <c:v>43951.503472222219</c:v>
                </c:pt>
                <c:pt idx="27">
                  <c:v>43952.504166666666</c:v>
                </c:pt>
                <c:pt idx="28">
                  <c:v>43955.505555555559</c:v>
                </c:pt>
                <c:pt idx="29">
                  <c:v>43956.504166666666</c:v>
                </c:pt>
                <c:pt idx="30">
                  <c:v>43957.505555555559</c:v>
                </c:pt>
                <c:pt idx="31">
                  <c:v>43958.50277777778</c:v>
                </c:pt>
                <c:pt idx="32">
                  <c:v>43962.504166666666</c:v>
                </c:pt>
                <c:pt idx="33">
                  <c:v>43963.507638888892</c:v>
                </c:pt>
                <c:pt idx="34">
                  <c:v>43964.504861111112</c:v>
                </c:pt>
                <c:pt idx="35">
                  <c:v>43965.506249999999</c:v>
                </c:pt>
                <c:pt idx="36">
                  <c:v>43966.509722222225</c:v>
                </c:pt>
                <c:pt idx="37">
                  <c:v>43969.50277777778</c:v>
                </c:pt>
                <c:pt idx="38">
                  <c:v>43970.507638888892</c:v>
                </c:pt>
                <c:pt idx="39">
                  <c:v>43971.506249999999</c:v>
                </c:pt>
                <c:pt idx="40">
                  <c:v>43972.504166666666</c:v>
                </c:pt>
                <c:pt idx="41">
                  <c:v>43973.506249999999</c:v>
                </c:pt>
                <c:pt idx="42">
                  <c:v>43977.505555555559</c:v>
                </c:pt>
                <c:pt idx="43">
                  <c:v>43978.504166666666</c:v>
                </c:pt>
                <c:pt idx="44">
                  <c:v>43979.504861111112</c:v>
                </c:pt>
                <c:pt idx="45">
                  <c:v>43980.508333333331</c:v>
                </c:pt>
                <c:pt idx="46">
                  <c:v>43983.504166666666</c:v>
                </c:pt>
                <c:pt idx="47">
                  <c:v>43984.50277777778</c:v>
                </c:pt>
                <c:pt idx="48">
                  <c:v>43985.503472222219</c:v>
                </c:pt>
                <c:pt idx="49">
                  <c:v>43987.504166666666</c:v>
                </c:pt>
                <c:pt idx="50">
                  <c:v>43990.507638888892</c:v>
                </c:pt>
                <c:pt idx="51">
                  <c:v>43991.509722222225</c:v>
                </c:pt>
                <c:pt idx="52">
                  <c:v>43992.509027777778</c:v>
                </c:pt>
                <c:pt idx="53">
                  <c:v>43993.509722222225</c:v>
                </c:pt>
                <c:pt idx="54">
                  <c:v>43994.506944444445</c:v>
                </c:pt>
                <c:pt idx="55">
                  <c:v>43997.517361111109</c:v>
                </c:pt>
                <c:pt idx="56">
                  <c:v>43998.507638888892</c:v>
                </c:pt>
                <c:pt idx="57">
                  <c:v>43999.508333333331</c:v>
                </c:pt>
                <c:pt idx="58">
                  <c:v>44000.507638888892</c:v>
                </c:pt>
                <c:pt idx="59">
                  <c:v>44001.5</c:v>
                </c:pt>
                <c:pt idx="60">
                  <c:v>44004.5</c:v>
                </c:pt>
                <c:pt idx="61">
                  <c:v>44005.509722222225</c:v>
                </c:pt>
                <c:pt idx="62">
                  <c:v>44006.506944444445</c:v>
                </c:pt>
                <c:pt idx="63">
                  <c:v>44007.509722222225</c:v>
                </c:pt>
                <c:pt idx="64">
                  <c:v>44011.505555555559</c:v>
                </c:pt>
                <c:pt idx="65">
                  <c:v>44012.507638888892</c:v>
                </c:pt>
                <c:pt idx="66">
                  <c:v>44013.511111111111</c:v>
                </c:pt>
                <c:pt idx="67">
                  <c:v>44014.502083333333</c:v>
                </c:pt>
                <c:pt idx="68">
                  <c:v>44015.51458333333</c:v>
                </c:pt>
                <c:pt idx="69">
                  <c:v>44018.51458333333</c:v>
                </c:pt>
                <c:pt idx="70">
                  <c:v>44019.507638888892</c:v>
                </c:pt>
                <c:pt idx="71">
                  <c:v>44020.505555555559</c:v>
                </c:pt>
                <c:pt idx="72">
                  <c:v>44021.508333333331</c:v>
                </c:pt>
                <c:pt idx="73">
                  <c:v>44025.51458333333</c:v>
                </c:pt>
                <c:pt idx="74">
                  <c:v>44026.511805555558</c:v>
                </c:pt>
                <c:pt idx="75">
                  <c:v>44027.505555555559</c:v>
                </c:pt>
                <c:pt idx="76">
                  <c:v>44028.51458333333</c:v>
                </c:pt>
                <c:pt idx="77">
                  <c:v>44029.507638888892</c:v>
                </c:pt>
                <c:pt idx="78">
                  <c:v>44032.521527777775</c:v>
                </c:pt>
                <c:pt idx="79">
                  <c:v>44033.511805555558</c:v>
                </c:pt>
                <c:pt idx="80">
                  <c:v>44034.505555555559</c:v>
                </c:pt>
                <c:pt idx="81">
                  <c:v>44035.506249999999</c:v>
                </c:pt>
                <c:pt idx="82">
                  <c:v>44036.519444444442</c:v>
                </c:pt>
                <c:pt idx="83">
                  <c:v>44039.510416666664</c:v>
                </c:pt>
                <c:pt idx="84">
                  <c:v>44040.523611111108</c:v>
                </c:pt>
                <c:pt idx="85">
                  <c:v>44041.511805555558</c:v>
                </c:pt>
                <c:pt idx="86">
                  <c:v>44042.511111111111</c:v>
                </c:pt>
                <c:pt idx="87">
                  <c:v>44043.515277777777</c:v>
                </c:pt>
                <c:pt idx="88">
                  <c:v>44046.506249999999</c:v>
                </c:pt>
                <c:pt idx="89">
                  <c:v>44047.509722222225</c:v>
                </c:pt>
                <c:pt idx="90">
                  <c:v>44048.518055555556</c:v>
                </c:pt>
                <c:pt idx="91">
                  <c:v>44049.504166666666</c:v>
                </c:pt>
                <c:pt idx="92">
                  <c:v>44050.507638888892</c:v>
                </c:pt>
                <c:pt idx="93">
                  <c:v>44053.522916666669</c:v>
                </c:pt>
                <c:pt idx="94">
                  <c:v>44054.518750000003</c:v>
                </c:pt>
                <c:pt idx="95">
                  <c:v>44055.518055555556</c:v>
                </c:pt>
                <c:pt idx="96">
                  <c:v>44056.51666666667</c:v>
                </c:pt>
                <c:pt idx="97">
                  <c:v>44057.524305555555</c:v>
                </c:pt>
                <c:pt idx="98">
                  <c:v>44060.5</c:v>
                </c:pt>
                <c:pt idx="99">
                  <c:v>44061.515277777777</c:v>
                </c:pt>
                <c:pt idx="100">
                  <c:v>44062.501388888886</c:v>
                </c:pt>
                <c:pt idx="101">
                  <c:v>44064.5</c:v>
                </c:pt>
                <c:pt idx="102">
                  <c:v>44067.50277777778</c:v>
                </c:pt>
                <c:pt idx="103">
                  <c:v>44068.5</c:v>
                </c:pt>
                <c:pt idx="104">
                  <c:v>44082.52847222222</c:v>
                </c:pt>
                <c:pt idx="105">
                  <c:v>44096.5</c:v>
                </c:pt>
                <c:pt idx="106">
                  <c:v>44113.5</c:v>
                </c:pt>
                <c:pt idx="107">
                  <c:v>44124.5</c:v>
                </c:pt>
                <c:pt idx="108">
                  <c:v>44138.5</c:v>
                </c:pt>
                <c:pt idx="109">
                  <c:v>44152.5</c:v>
                </c:pt>
                <c:pt idx="110">
                  <c:v>44166.5</c:v>
                </c:pt>
                <c:pt idx="111">
                  <c:v>44180.5</c:v>
                </c:pt>
                <c:pt idx="112">
                  <c:v>44208.5</c:v>
                </c:pt>
                <c:pt idx="113">
                  <c:v>44222.5</c:v>
                </c:pt>
                <c:pt idx="114">
                  <c:v>44250</c:v>
                </c:pt>
                <c:pt idx="115">
                  <c:v>44264</c:v>
                </c:pt>
                <c:pt idx="116">
                  <c:v>44278</c:v>
                </c:pt>
                <c:pt idx="117">
                  <c:v>44292</c:v>
                </c:pt>
                <c:pt idx="118">
                  <c:v>44306</c:v>
                </c:pt>
                <c:pt idx="119">
                  <c:v>44320</c:v>
                </c:pt>
                <c:pt idx="120">
                  <c:v>44334</c:v>
                </c:pt>
                <c:pt idx="121">
                  <c:v>44348</c:v>
                </c:pt>
                <c:pt idx="122">
                  <c:v>44362</c:v>
                </c:pt>
                <c:pt idx="123">
                  <c:v>44376</c:v>
                </c:pt>
                <c:pt idx="124">
                  <c:v>44390</c:v>
                </c:pt>
                <c:pt idx="125">
                  <c:v>44404</c:v>
                </c:pt>
                <c:pt idx="126">
                  <c:v>44419</c:v>
                </c:pt>
                <c:pt idx="127">
                  <c:v>44432</c:v>
                </c:pt>
                <c:pt idx="128">
                  <c:v>44446</c:v>
                </c:pt>
                <c:pt idx="129">
                  <c:v>44460</c:v>
                </c:pt>
                <c:pt idx="130">
                  <c:v>44474</c:v>
                </c:pt>
                <c:pt idx="131">
                  <c:v>44488</c:v>
                </c:pt>
                <c:pt idx="132">
                  <c:v>44502</c:v>
                </c:pt>
                <c:pt idx="133">
                  <c:v>44516</c:v>
                </c:pt>
                <c:pt idx="134">
                  <c:v>44530</c:v>
                </c:pt>
                <c:pt idx="135">
                  <c:v>44544</c:v>
                </c:pt>
                <c:pt idx="136">
                  <c:v>44559</c:v>
                </c:pt>
                <c:pt idx="137">
                  <c:v>44572</c:v>
                </c:pt>
                <c:pt idx="138">
                  <c:v>44586</c:v>
                </c:pt>
                <c:pt idx="139">
                  <c:v>44600</c:v>
                </c:pt>
                <c:pt idx="140">
                  <c:v>44614</c:v>
                </c:pt>
                <c:pt idx="141">
                  <c:v>44628</c:v>
                </c:pt>
                <c:pt idx="142">
                  <c:v>44642</c:v>
                </c:pt>
                <c:pt idx="143">
                  <c:v>44656</c:v>
                </c:pt>
                <c:pt idx="144">
                  <c:v>44670</c:v>
                </c:pt>
                <c:pt idx="145">
                  <c:v>44684</c:v>
                </c:pt>
                <c:pt idx="146">
                  <c:v>44698</c:v>
                </c:pt>
                <c:pt idx="147">
                  <c:v>44712</c:v>
                </c:pt>
                <c:pt idx="148">
                  <c:v>44726</c:v>
                </c:pt>
                <c:pt idx="149">
                  <c:v>44740</c:v>
                </c:pt>
                <c:pt idx="150">
                  <c:v>44754</c:v>
                </c:pt>
                <c:pt idx="151">
                  <c:v>44768</c:v>
                </c:pt>
                <c:pt idx="152">
                  <c:v>44782</c:v>
                </c:pt>
                <c:pt idx="153">
                  <c:v>44796</c:v>
                </c:pt>
                <c:pt idx="154">
                  <c:v>44810</c:v>
                </c:pt>
                <c:pt idx="155">
                  <c:v>44824</c:v>
                </c:pt>
                <c:pt idx="156">
                  <c:v>44838</c:v>
                </c:pt>
                <c:pt idx="157">
                  <c:v>44853</c:v>
                </c:pt>
                <c:pt idx="158">
                  <c:v>44866</c:v>
                </c:pt>
                <c:pt idx="159">
                  <c:v>44880</c:v>
                </c:pt>
                <c:pt idx="160">
                  <c:v>44894</c:v>
                </c:pt>
                <c:pt idx="161">
                  <c:v>44908</c:v>
                </c:pt>
                <c:pt idx="162">
                  <c:v>44925</c:v>
                </c:pt>
                <c:pt idx="163">
                  <c:v>44936</c:v>
                </c:pt>
                <c:pt idx="164">
                  <c:v>44950</c:v>
                </c:pt>
                <c:pt idx="165">
                  <c:v>44964</c:v>
                </c:pt>
                <c:pt idx="166">
                  <c:v>44978</c:v>
                </c:pt>
                <c:pt idx="167">
                  <c:v>44992</c:v>
                </c:pt>
                <c:pt idx="168">
                  <c:v>45006</c:v>
                </c:pt>
                <c:pt idx="169">
                  <c:v>45020</c:v>
                </c:pt>
                <c:pt idx="170">
                  <c:v>45034</c:v>
                </c:pt>
                <c:pt idx="171">
                  <c:v>45048</c:v>
                </c:pt>
                <c:pt idx="172">
                  <c:v>45062</c:v>
                </c:pt>
                <c:pt idx="173">
                  <c:v>45076</c:v>
                </c:pt>
                <c:pt idx="174">
                  <c:v>45090</c:v>
                </c:pt>
                <c:pt idx="175">
                  <c:v>45104</c:v>
                </c:pt>
                <c:pt idx="176">
                  <c:v>45118</c:v>
                </c:pt>
                <c:pt idx="177">
                  <c:v>45132</c:v>
                </c:pt>
                <c:pt idx="178">
                  <c:v>45146</c:v>
                </c:pt>
                <c:pt idx="179">
                  <c:v>45160</c:v>
                </c:pt>
                <c:pt idx="180">
                  <c:v>45174</c:v>
                </c:pt>
                <c:pt idx="181">
                  <c:v>45188</c:v>
                </c:pt>
                <c:pt idx="182">
                  <c:v>45202</c:v>
                </c:pt>
                <c:pt idx="183">
                  <c:v>45216</c:v>
                </c:pt>
                <c:pt idx="184">
                  <c:v>45230</c:v>
                </c:pt>
                <c:pt idx="185">
                  <c:v>45244</c:v>
                </c:pt>
                <c:pt idx="186">
                  <c:v>45258</c:v>
                </c:pt>
                <c:pt idx="187">
                  <c:v>45273</c:v>
                </c:pt>
                <c:pt idx="188">
                  <c:v>45292</c:v>
                </c:pt>
                <c:pt idx="189">
                  <c:v>45300</c:v>
                </c:pt>
                <c:pt idx="190">
                  <c:v>45314</c:v>
                </c:pt>
                <c:pt idx="191">
                  <c:v>45328</c:v>
                </c:pt>
                <c:pt idx="192">
                  <c:v>45342</c:v>
                </c:pt>
                <c:pt idx="193">
                  <c:v>45356</c:v>
                </c:pt>
                <c:pt idx="194">
                  <c:v>45370</c:v>
                </c:pt>
                <c:pt idx="195">
                  <c:v>45384</c:v>
                </c:pt>
                <c:pt idx="196">
                  <c:v>45396</c:v>
                </c:pt>
                <c:pt idx="197">
                  <c:v>45426</c:v>
                </c:pt>
                <c:pt idx="198">
                  <c:v>45440</c:v>
                </c:pt>
                <c:pt idx="199">
                  <c:v>45454</c:v>
                </c:pt>
                <c:pt idx="200">
                  <c:v>45468</c:v>
                </c:pt>
                <c:pt idx="201">
                  <c:v>45482</c:v>
                </c:pt>
                <c:pt idx="202">
                  <c:v>45496</c:v>
                </c:pt>
                <c:pt idx="203">
                  <c:v>45510</c:v>
                </c:pt>
                <c:pt idx="204">
                  <c:v>45524</c:v>
                </c:pt>
                <c:pt idx="205">
                  <c:v>45552</c:v>
                </c:pt>
                <c:pt idx="206">
                  <c:v>45566</c:v>
                </c:pt>
                <c:pt idx="207">
                  <c:v>45580</c:v>
                </c:pt>
                <c:pt idx="208">
                  <c:v>45594</c:v>
                </c:pt>
                <c:pt idx="209">
                  <c:v>45608</c:v>
                </c:pt>
                <c:pt idx="210">
                  <c:v>45622</c:v>
                </c:pt>
                <c:pt idx="211">
                  <c:v>45636</c:v>
                </c:pt>
                <c:pt idx="212">
                  <c:v>45650</c:v>
                </c:pt>
                <c:pt idx="213">
                  <c:v>45664</c:v>
                </c:pt>
                <c:pt idx="214">
                  <c:v>45678</c:v>
                </c:pt>
                <c:pt idx="215">
                  <c:v>45692</c:v>
                </c:pt>
                <c:pt idx="216">
                  <c:v>45706</c:v>
                </c:pt>
                <c:pt idx="217">
                  <c:v>45720</c:v>
                </c:pt>
                <c:pt idx="218">
                  <c:v>45734</c:v>
                </c:pt>
                <c:pt idx="219">
                  <c:v>45748</c:v>
                </c:pt>
                <c:pt idx="220">
                  <c:v>45762</c:v>
                </c:pt>
                <c:pt idx="221">
                  <c:v>45783</c:v>
                </c:pt>
                <c:pt idx="222">
                  <c:v>45790</c:v>
                </c:pt>
                <c:pt idx="223">
                  <c:v>45804</c:v>
                </c:pt>
                <c:pt idx="224">
                  <c:v>45818</c:v>
                </c:pt>
                <c:pt idx="225">
                  <c:v>45832</c:v>
                </c:pt>
                <c:pt idx="226">
                  <c:v>45846</c:v>
                </c:pt>
                <c:pt idx="227">
                  <c:v>45860</c:v>
                </c:pt>
                <c:pt idx="228">
                  <c:v>45874</c:v>
                </c:pt>
                <c:pt idx="229">
                  <c:v>45888</c:v>
                </c:pt>
                <c:pt idx="230">
                  <c:v>45902</c:v>
                </c:pt>
                <c:pt idx="231">
                  <c:v>45916</c:v>
                </c:pt>
                <c:pt idx="232">
                  <c:v>45930</c:v>
                </c:pt>
                <c:pt idx="233">
                  <c:v>45944</c:v>
                </c:pt>
                <c:pt idx="234">
                  <c:v>45958</c:v>
                </c:pt>
                <c:pt idx="235">
                  <c:v>45986</c:v>
                </c:pt>
                <c:pt idx="236">
                  <c:v>46000</c:v>
                </c:pt>
                <c:pt idx="237">
                  <c:v>46021</c:v>
                </c:pt>
                <c:pt idx="238">
                  <c:v>46028</c:v>
                </c:pt>
                <c:pt idx="239">
                  <c:v>46042</c:v>
                </c:pt>
                <c:pt idx="240">
                  <c:v>46056</c:v>
                </c:pt>
                <c:pt idx="241">
                  <c:v>46070</c:v>
                </c:pt>
                <c:pt idx="242">
                  <c:v>46084</c:v>
                </c:pt>
              </c:numCache>
            </c:numRef>
          </c:cat>
          <c:val>
            <c:numRef>
              <c:f>'Rental supply by price'!$F$9:$F$251</c:f>
              <c:numCache>
                <c:formatCode>#,##0</c:formatCode>
                <c:ptCount val="243"/>
                <c:pt idx="1">
                  <c:v>5934</c:v>
                </c:pt>
                <c:pt idx="2">
                  <c:v>5945</c:v>
                </c:pt>
                <c:pt idx="3">
                  <c:v>5935</c:v>
                </c:pt>
                <c:pt idx="4">
                  <c:v>6000</c:v>
                </c:pt>
                <c:pt idx="5">
                  <c:v>5994</c:v>
                </c:pt>
                <c:pt idx="6">
                  <c:v>6065</c:v>
                </c:pt>
                <c:pt idx="7">
                  <c:v>6078</c:v>
                </c:pt>
                <c:pt idx="8">
                  <c:v>6098</c:v>
                </c:pt>
                <c:pt idx="9">
                  <c:v>6155</c:v>
                </c:pt>
                <c:pt idx="10">
                  <c:v>6165</c:v>
                </c:pt>
                <c:pt idx="11">
                  <c:v>6204</c:v>
                </c:pt>
                <c:pt idx="12">
                  <c:v>6207</c:v>
                </c:pt>
                <c:pt idx="13">
                  <c:v>6262</c:v>
                </c:pt>
                <c:pt idx="14">
                  <c:v>6326</c:v>
                </c:pt>
                <c:pt idx="15">
                  <c:v>6363</c:v>
                </c:pt>
                <c:pt idx="16">
                  <c:v>6419</c:v>
                </c:pt>
                <c:pt idx="17">
                  <c:v>6420</c:v>
                </c:pt>
                <c:pt idx="18">
                  <c:v>6432</c:v>
                </c:pt>
                <c:pt idx="19">
                  <c:v>6494</c:v>
                </c:pt>
                <c:pt idx="20">
                  <c:v>6526</c:v>
                </c:pt>
                <c:pt idx="21">
                  <c:v>6565</c:v>
                </c:pt>
                <c:pt idx="22">
                  <c:v>6627</c:v>
                </c:pt>
                <c:pt idx="23">
                  <c:v>6691</c:v>
                </c:pt>
                <c:pt idx="24">
                  <c:v>6732</c:v>
                </c:pt>
                <c:pt idx="25">
                  <c:v>6768</c:v>
                </c:pt>
                <c:pt idx="26">
                  <c:v>6833</c:v>
                </c:pt>
                <c:pt idx="27">
                  <c:v>6911</c:v>
                </c:pt>
                <c:pt idx="28">
                  <c:v>6946</c:v>
                </c:pt>
                <c:pt idx="29">
                  <c:v>6982</c:v>
                </c:pt>
                <c:pt idx="30">
                  <c:v>7082</c:v>
                </c:pt>
                <c:pt idx="31">
                  <c:v>7180</c:v>
                </c:pt>
                <c:pt idx="32">
                  <c:v>7242</c:v>
                </c:pt>
                <c:pt idx="33" formatCode="General">
                  <c:v>7314</c:v>
                </c:pt>
                <c:pt idx="34" formatCode="General">
                  <c:v>7389</c:v>
                </c:pt>
                <c:pt idx="35">
                  <c:v>7540</c:v>
                </c:pt>
                <c:pt idx="36">
                  <c:v>7673</c:v>
                </c:pt>
                <c:pt idx="37">
                  <c:v>7590</c:v>
                </c:pt>
                <c:pt idx="38">
                  <c:v>7662</c:v>
                </c:pt>
                <c:pt idx="39">
                  <c:v>7740</c:v>
                </c:pt>
                <c:pt idx="40">
                  <c:v>7855</c:v>
                </c:pt>
                <c:pt idx="41">
                  <c:v>7965</c:v>
                </c:pt>
                <c:pt idx="42">
                  <c:v>8106</c:v>
                </c:pt>
                <c:pt idx="43">
                  <c:v>8167</c:v>
                </c:pt>
                <c:pt idx="44">
                  <c:v>8280</c:v>
                </c:pt>
                <c:pt idx="45">
                  <c:v>8379</c:v>
                </c:pt>
                <c:pt idx="46">
                  <c:v>8331</c:v>
                </c:pt>
                <c:pt idx="47">
                  <c:v>8408</c:v>
                </c:pt>
                <c:pt idx="48">
                  <c:v>8540</c:v>
                </c:pt>
                <c:pt idx="49">
                  <c:v>8719</c:v>
                </c:pt>
                <c:pt idx="50">
                  <c:v>8829</c:v>
                </c:pt>
                <c:pt idx="51">
                  <c:v>8921</c:v>
                </c:pt>
                <c:pt idx="52">
                  <c:v>9063</c:v>
                </c:pt>
                <c:pt idx="53">
                  <c:v>9176</c:v>
                </c:pt>
                <c:pt idx="54">
                  <c:v>9219</c:v>
                </c:pt>
                <c:pt idx="55">
                  <c:v>9232</c:v>
                </c:pt>
                <c:pt idx="56">
                  <c:v>9296</c:v>
                </c:pt>
                <c:pt idx="57">
                  <c:v>9337</c:v>
                </c:pt>
                <c:pt idx="58">
                  <c:v>9422</c:v>
                </c:pt>
                <c:pt idx="59">
                  <c:v>9450</c:v>
                </c:pt>
                <c:pt idx="60">
                  <c:v>9447</c:v>
                </c:pt>
                <c:pt idx="61">
                  <c:v>9522</c:v>
                </c:pt>
                <c:pt idx="62">
                  <c:v>9601</c:v>
                </c:pt>
                <c:pt idx="63">
                  <c:v>9696</c:v>
                </c:pt>
                <c:pt idx="64">
                  <c:v>9838</c:v>
                </c:pt>
                <c:pt idx="65">
                  <c:v>9893</c:v>
                </c:pt>
                <c:pt idx="66">
                  <c:v>10025</c:v>
                </c:pt>
                <c:pt idx="67">
                  <c:v>10136</c:v>
                </c:pt>
                <c:pt idx="68">
                  <c:v>10284</c:v>
                </c:pt>
                <c:pt idx="69">
                  <c:v>10283</c:v>
                </c:pt>
                <c:pt idx="70">
                  <c:v>10372</c:v>
                </c:pt>
                <c:pt idx="71">
                  <c:v>10434</c:v>
                </c:pt>
                <c:pt idx="72">
                  <c:v>10506</c:v>
                </c:pt>
                <c:pt idx="73">
                  <c:v>10580</c:v>
                </c:pt>
                <c:pt idx="75">
                  <c:v>10661</c:v>
                </c:pt>
                <c:pt idx="76">
                  <c:v>10864</c:v>
                </c:pt>
                <c:pt idx="77">
                  <c:v>10709</c:v>
                </c:pt>
                <c:pt idx="78">
                  <c:v>10640</c:v>
                </c:pt>
                <c:pt idx="79">
                  <c:v>10604</c:v>
                </c:pt>
                <c:pt idx="80">
                  <c:v>10684</c:v>
                </c:pt>
                <c:pt idx="81">
                  <c:v>10736</c:v>
                </c:pt>
                <c:pt idx="82">
                  <c:v>10758</c:v>
                </c:pt>
                <c:pt idx="83">
                  <c:v>10773</c:v>
                </c:pt>
                <c:pt idx="84">
                  <c:v>10735</c:v>
                </c:pt>
                <c:pt idx="85">
                  <c:v>10759</c:v>
                </c:pt>
                <c:pt idx="86">
                  <c:v>10754</c:v>
                </c:pt>
                <c:pt idx="87">
                  <c:v>10745</c:v>
                </c:pt>
                <c:pt idx="88">
                  <c:v>10626</c:v>
                </c:pt>
                <c:pt idx="89">
                  <c:v>10676</c:v>
                </c:pt>
                <c:pt idx="90">
                  <c:v>10717</c:v>
                </c:pt>
                <c:pt idx="91">
                  <c:v>10805</c:v>
                </c:pt>
                <c:pt idx="92">
                  <c:v>10797</c:v>
                </c:pt>
                <c:pt idx="93">
                  <c:v>10744</c:v>
                </c:pt>
                <c:pt idx="94">
                  <c:v>10742</c:v>
                </c:pt>
                <c:pt idx="95">
                  <c:v>10765</c:v>
                </c:pt>
                <c:pt idx="96">
                  <c:v>10789</c:v>
                </c:pt>
                <c:pt idx="97">
                  <c:v>10826</c:v>
                </c:pt>
                <c:pt idx="98">
                  <c:v>10736</c:v>
                </c:pt>
                <c:pt idx="99">
                  <c:v>10710</c:v>
                </c:pt>
                <c:pt idx="100">
                  <c:v>10750</c:v>
                </c:pt>
                <c:pt idx="101">
                  <c:v>10678</c:v>
                </c:pt>
                <c:pt idx="102">
                  <c:v>10598</c:v>
                </c:pt>
                <c:pt idx="103">
                  <c:v>10522</c:v>
                </c:pt>
                <c:pt idx="104">
                  <c:v>10305</c:v>
                </c:pt>
                <c:pt idx="105">
                  <c:v>10252</c:v>
                </c:pt>
                <c:pt idx="106">
                  <c:v>10581</c:v>
                </c:pt>
                <c:pt idx="107">
                  <c:v>11209</c:v>
                </c:pt>
                <c:pt idx="108">
                  <c:v>13124</c:v>
                </c:pt>
                <c:pt idx="109">
                  <c:v>12287</c:v>
                </c:pt>
                <c:pt idx="110">
                  <c:v>11784</c:v>
                </c:pt>
                <c:pt idx="111">
                  <c:v>11633</c:v>
                </c:pt>
                <c:pt idx="112">
                  <c:v>11347</c:v>
                </c:pt>
                <c:pt idx="113">
                  <c:v>11454</c:v>
                </c:pt>
                <c:pt idx="114">
                  <c:v>12216</c:v>
                </c:pt>
                <c:pt idx="115">
                  <c:v>12093</c:v>
                </c:pt>
                <c:pt idx="116">
                  <c:v>11912</c:v>
                </c:pt>
                <c:pt idx="117" formatCode="General">
                  <c:v>11383</c:v>
                </c:pt>
                <c:pt idx="118" formatCode="General">
                  <c:v>11325</c:v>
                </c:pt>
                <c:pt idx="119" formatCode="General">
                  <c:v>11002</c:v>
                </c:pt>
                <c:pt idx="120" formatCode="General">
                  <c:v>10770</c:v>
                </c:pt>
                <c:pt idx="121" formatCode="General">
                  <c:v>10368</c:v>
                </c:pt>
                <c:pt idx="122" formatCode="General">
                  <c:v>10377</c:v>
                </c:pt>
                <c:pt idx="123" formatCode="General">
                  <c:v>9928</c:v>
                </c:pt>
                <c:pt idx="124" formatCode="General">
                  <c:v>9827</c:v>
                </c:pt>
                <c:pt idx="125" formatCode="General">
                  <c:v>9088</c:v>
                </c:pt>
                <c:pt idx="126" formatCode="General">
                  <c:v>7872</c:v>
                </c:pt>
                <c:pt idx="127" formatCode="General">
                  <c:v>6832</c:v>
                </c:pt>
                <c:pt idx="128" formatCode="General">
                  <c:v>5907</c:v>
                </c:pt>
                <c:pt idx="129" formatCode="General">
                  <c:v>5225</c:v>
                </c:pt>
                <c:pt idx="130" formatCode="General">
                  <c:v>4739</c:v>
                </c:pt>
                <c:pt idx="131" formatCode="General">
                  <c:v>4296</c:v>
                </c:pt>
                <c:pt idx="132" formatCode="General">
                  <c:v>3900</c:v>
                </c:pt>
                <c:pt idx="133" formatCode="General">
                  <c:v>3716</c:v>
                </c:pt>
                <c:pt idx="134" formatCode="General">
                  <c:v>3548</c:v>
                </c:pt>
                <c:pt idx="135" formatCode="General">
                  <c:v>3371</c:v>
                </c:pt>
                <c:pt idx="136" formatCode="General">
                  <c:v>3199</c:v>
                </c:pt>
                <c:pt idx="137" formatCode="General">
                  <c:v>3307</c:v>
                </c:pt>
                <c:pt idx="138" formatCode="General">
                  <c:v>3056</c:v>
                </c:pt>
                <c:pt idx="139" formatCode="General">
                  <c:v>2799</c:v>
                </c:pt>
                <c:pt idx="140" formatCode="General">
                  <c:v>2662</c:v>
                </c:pt>
                <c:pt idx="141" formatCode="General">
                  <c:v>2451</c:v>
                </c:pt>
                <c:pt idx="142" formatCode="General">
                  <c:v>2352</c:v>
                </c:pt>
                <c:pt idx="143" formatCode="General">
                  <c:v>2232</c:v>
                </c:pt>
                <c:pt idx="144" formatCode="General">
                  <c:v>2156</c:v>
                </c:pt>
                <c:pt idx="145" formatCode="General">
                  <c:v>2124</c:v>
                </c:pt>
                <c:pt idx="146" formatCode="General">
                  <c:v>2171</c:v>
                </c:pt>
                <c:pt idx="147" formatCode="General">
                  <c:v>2118</c:v>
                </c:pt>
                <c:pt idx="148" formatCode="General">
                  <c:v>2125</c:v>
                </c:pt>
                <c:pt idx="149" formatCode="General">
                  <c:v>2215</c:v>
                </c:pt>
                <c:pt idx="150" formatCode="General">
                  <c:v>2147</c:v>
                </c:pt>
                <c:pt idx="151" formatCode="General">
                  <c:v>1997</c:v>
                </c:pt>
                <c:pt idx="152" formatCode="General">
                  <c:v>1700</c:v>
                </c:pt>
                <c:pt idx="153" formatCode="General">
                  <c:v>1414</c:v>
                </c:pt>
                <c:pt idx="154" formatCode="General">
                  <c:v>1226</c:v>
                </c:pt>
                <c:pt idx="155" formatCode="General">
                  <c:v>1043</c:v>
                </c:pt>
                <c:pt idx="156" formatCode="General">
                  <c:v>1003</c:v>
                </c:pt>
                <c:pt idx="157" formatCode="General">
                  <c:v>1035</c:v>
                </c:pt>
                <c:pt idx="158" formatCode="General">
                  <c:v>1022</c:v>
                </c:pt>
                <c:pt idx="159" formatCode="General">
                  <c:v>1053</c:v>
                </c:pt>
                <c:pt idx="160" formatCode="General">
                  <c:v>1180</c:v>
                </c:pt>
                <c:pt idx="161" formatCode="General">
                  <c:v>1229</c:v>
                </c:pt>
                <c:pt idx="162" formatCode="General">
                  <c:v>1193</c:v>
                </c:pt>
                <c:pt idx="163" formatCode="General">
                  <c:v>1302</c:v>
                </c:pt>
                <c:pt idx="164" formatCode="General">
                  <c:v>1232</c:v>
                </c:pt>
                <c:pt idx="165" formatCode="General">
                  <c:v>1073</c:v>
                </c:pt>
                <c:pt idx="166" formatCode="General">
                  <c:v>969</c:v>
                </c:pt>
                <c:pt idx="167" formatCode="General">
                  <c:v>912</c:v>
                </c:pt>
                <c:pt idx="168" formatCode="General">
                  <c:v>963</c:v>
                </c:pt>
                <c:pt idx="169" formatCode="General">
                  <c:v>893</c:v>
                </c:pt>
                <c:pt idx="170" formatCode="General">
                  <c:v>949</c:v>
                </c:pt>
                <c:pt idx="171" formatCode="General">
                  <c:v>943</c:v>
                </c:pt>
                <c:pt idx="172" formatCode="General">
                  <c:v>1009</c:v>
                </c:pt>
                <c:pt idx="173" formatCode="General">
                  <c:v>973</c:v>
                </c:pt>
                <c:pt idx="174" formatCode="General">
                  <c:v>993</c:v>
                </c:pt>
                <c:pt idx="175" formatCode="General">
                  <c:v>1051</c:v>
                </c:pt>
                <c:pt idx="176" formatCode="General">
                  <c:v>1017</c:v>
                </c:pt>
                <c:pt idx="177" formatCode="General">
                  <c:v>979</c:v>
                </c:pt>
                <c:pt idx="178" formatCode="General">
                  <c:v>980</c:v>
                </c:pt>
                <c:pt idx="179" formatCode="General">
                  <c:v>895</c:v>
                </c:pt>
                <c:pt idx="180" formatCode="General">
                  <c:v>898</c:v>
                </c:pt>
                <c:pt idx="181" formatCode="General">
                  <c:v>931</c:v>
                </c:pt>
                <c:pt idx="182" formatCode="General">
                  <c:v>906</c:v>
                </c:pt>
                <c:pt idx="183" formatCode="General">
                  <c:v>942</c:v>
                </c:pt>
                <c:pt idx="184" formatCode="General">
                  <c:v>992</c:v>
                </c:pt>
                <c:pt idx="185" formatCode="General">
                  <c:v>1090</c:v>
                </c:pt>
                <c:pt idx="186" formatCode="General">
                  <c:v>1158</c:v>
                </c:pt>
                <c:pt idx="187" formatCode="General">
                  <c:v>1196</c:v>
                </c:pt>
                <c:pt idx="188" formatCode="General">
                  <c:v>974</c:v>
                </c:pt>
                <c:pt idx="189" formatCode="General">
                  <c:v>1048</c:v>
                </c:pt>
                <c:pt idx="190" formatCode="General">
                  <c:v>1064</c:v>
                </c:pt>
                <c:pt idx="191" formatCode="General">
                  <c:v>1042</c:v>
                </c:pt>
                <c:pt idx="192" formatCode="General">
                  <c:v>1117</c:v>
                </c:pt>
                <c:pt idx="193" formatCode="General">
                  <c:v>1093</c:v>
                </c:pt>
                <c:pt idx="194" formatCode="General">
                  <c:v>1065</c:v>
                </c:pt>
                <c:pt idx="195" formatCode="General">
                  <c:v>1014</c:v>
                </c:pt>
                <c:pt idx="196" formatCode="General">
                  <c:v>1047</c:v>
                </c:pt>
                <c:pt idx="197" formatCode="General">
                  <c:v>1092</c:v>
                </c:pt>
                <c:pt idx="198" formatCode="General">
                  <c:v>1019</c:v>
                </c:pt>
                <c:pt idx="199" formatCode="General">
                  <c:v>1049</c:v>
                </c:pt>
                <c:pt idx="200" formatCode="General">
                  <c:v>1024</c:v>
                </c:pt>
                <c:pt idx="201" formatCode="General">
                  <c:v>1016</c:v>
                </c:pt>
                <c:pt idx="202" formatCode="General">
                  <c:v>1118</c:v>
                </c:pt>
                <c:pt idx="203" formatCode="General">
                  <c:v>1070</c:v>
                </c:pt>
                <c:pt idx="204" formatCode="General">
                  <c:v>1072</c:v>
                </c:pt>
                <c:pt idx="205" formatCode="General">
                  <c:v>1126</c:v>
                </c:pt>
                <c:pt idx="206" formatCode="General">
                  <c:v>1092</c:v>
                </c:pt>
                <c:pt idx="207" formatCode="General">
                  <c:v>1093</c:v>
                </c:pt>
                <c:pt idx="208" formatCode="General">
                  <c:v>1068</c:v>
                </c:pt>
                <c:pt idx="209" formatCode="General">
                  <c:v>1203</c:v>
                </c:pt>
                <c:pt idx="210" formatCode="General">
                  <c:v>1283</c:v>
                </c:pt>
                <c:pt idx="211" formatCode="General">
                  <c:v>1303</c:v>
                </c:pt>
                <c:pt idx="212" formatCode="General">
                  <c:v>1040</c:v>
                </c:pt>
                <c:pt idx="213" formatCode="General">
                  <c:v>1152</c:v>
                </c:pt>
                <c:pt idx="214" formatCode="General">
                  <c:v>1196</c:v>
                </c:pt>
                <c:pt idx="215" formatCode="General">
                  <c:v>1134</c:v>
                </c:pt>
                <c:pt idx="216" formatCode="General">
                  <c:v>1087</c:v>
                </c:pt>
                <c:pt idx="217" formatCode="General">
                  <c:v>1081</c:v>
                </c:pt>
                <c:pt idx="218" formatCode="General">
                  <c:v>1198</c:v>
                </c:pt>
                <c:pt idx="219" formatCode="General">
                  <c:v>1229</c:v>
                </c:pt>
                <c:pt idx="220" formatCode="General">
                  <c:v>1278</c:v>
                </c:pt>
                <c:pt idx="221" formatCode="General">
                  <c:v>1341</c:v>
                </c:pt>
                <c:pt idx="222" formatCode="General">
                  <c:v>1366</c:v>
                </c:pt>
                <c:pt idx="223" formatCode="General">
                  <c:v>1345</c:v>
                </c:pt>
                <c:pt idx="224" formatCode="General">
                  <c:v>1365</c:v>
                </c:pt>
                <c:pt idx="225" formatCode="General">
                  <c:v>1386</c:v>
                </c:pt>
                <c:pt idx="226" formatCode="General">
                  <c:v>1334</c:v>
                </c:pt>
                <c:pt idx="227" formatCode="General">
                  <c:v>1272</c:v>
                </c:pt>
                <c:pt idx="228" formatCode="General">
                  <c:v>1289</c:v>
                </c:pt>
                <c:pt idx="229" formatCode="General">
                  <c:v>1310</c:v>
                </c:pt>
                <c:pt idx="230" formatCode="General">
                  <c:v>1241</c:v>
                </c:pt>
                <c:pt idx="231" formatCode="General">
                  <c:v>1258</c:v>
                </c:pt>
                <c:pt idx="232" formatCode="General">
                  <c:v>1346</c:v>
                </c:pt>
                <c:pt idx="233" formatCode="General">
                  <c:v>1435</c:v>
                </c:pt>
                <c:pt idx="234" formatCode="General">
                  <c:v>1465</c:v>
                </c:pt>
                <c:pt idx="235" formatCode="General">
                  <c:v>1527</c:v>
                </c:pt>
                <c:pt idx="236" formatCode="General">
                  <c:v>1501</c:v>
                </c:pt>
                <c:pt idx="237" formatCode="General">
                  <c:v>1389</c:v>
                </c:pt>
                <c:pt idx="238" formatCode="General">
                  <c:v>1436</c:v>
                </c:pt>
                <c:pt idx="239" formatCode="General">
                  <c:v>1364</c:v>
                </c:pt>
                <c:pt idx="240" formatCode="General">
                  <c:v>1298</c:v>
                </c:pt>
                <c:pt idx="241" formatCode="General">
                  <c:v>1224</c:v>
                </c:pt>
                <c:pt idx="242" formatCode="General">
                  <c:v>1179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695-42D2-B1F9-64EA609903FE}"/>
            </c:ext>
          </c:extLst>
        </c:ser>
        <c:ser>
          <c:idx val="4"/>
          <c:order val="4"/>
          <c:tx>
            <c:strRef>
              <c:f>'Rental supply by price'!$G$7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'Rental supply by price'!$B$9:$B$251</c:f>
              <c:numCache>
                <c:formatCode>m/d/yy</c:formatCode>
                <c:ptCount val="243"/>
                <c:pt idx="0">
                  <c:v>43915.447916666664</c:v>
                </c:pt>
                <c:pt idx="1">
                  <c:v>43920.563888888886</c:v>
                </c:pt>
                <c:pt idx="2">
                  <c:v>43921.470833333333</c:v>
                </c:pt>
                <c:pt idx="3">
                  <c:v>43922.387499999997</c:v>
                </c:pt>
                <c:pt idx="4">
                  <c:v>43923.652777777781</c:v>
                </c:pt>
                <c:pt idx="5">
                  <c:v>43924.354166666664</c:v>
                </c:pt>
                <c:pt idx="6">
                  <c:v>43926.579861111109</c:v>
                </c:pt>
                <c:pt idx="7">
                  <c:v>43927.569444444445</c:v>
                </c:pt>
                <c:pt idx="8">
                  <c:v>43928.538194444445</c:v>
                </c:pt>
                <c:pt idx="9">
                  <c:v>43929.673611111109</c:v>
                </c:pt>
                <c:pt idx="10">
                  <c:v>43930.503472222219</c:v>
                </c:pt>
                <c:pt idx="11">
                  <c:v>43934.791666666664</c:v>
                </c:pt>
                <c:pt idx="12">
                  <c:v>43935.510416666664</c:v>
                </c:pt>
                <c:pt idx="13">
                  <c:v>43936.510416666664</c:v>
                </c:pt>
                <c:pt idx="14">
                  <c:v>43937.506249999999</c:v>
                </c:pt>
                <c:pt idx="15">
                  <c:v>43938.506249942133</c:v>
                </c:pt>
                <c:pt idx="16">
                  <c:v>43940.365277777775</c:v>
                </c:pt>
                <c:pt idx="17">
                  <c:v>43940.506944444445</c:v>
                </c:pt>
                <c:pt idx="18">
                  <c:v>43941.504861111112</c:v>
                </c:pt>
                <c:pt idx="19">
                  <c:v>43942.504861111112</c:v>
                </c:pt>
                <c:pt idx="20">
                  <c:v>43943.501388888886</c:v>
                </c:pt>
                <c:pt idx="21">
                  <c:v>43944.505555555559</c:v>
                </c:pt>
                <c:pt idx="22">
                  <c:v>43945.501388888886</c:v>
                </c:pt>
                <c:pt idx="23">
                  <c:v>43948.504166666666</c:v>
                </c:pt>
                <c:pt idx="24">
                  <c:v>43949.504166666666</c:v>
                </c:pt>
                <c:pt idx="25">
                  <c:v>43950.502083333333</c:v>
                </c:pt>
                <c:pt idx="26">
                  <c:v>43951.503472222219</c:v>
                </c:pt>
                <c:pt idx="27">
                  <c:v>43952.504166666666</c:v>
                </c:pt>
                <c:pt idx="28">
                  <c:v>43955.505555555559</c:v>
                </c:pt>
                <c:pt idx="29">
                  <c:v>43956.504166666666</c:v>
                </c:pt>
                <c:pt idx="30">
                  <c:v>43957.505555555559</c:v>
                </c:pt>
                <c:pt idx="31">
                  <c:v>43958.50277777778</c:v>
                </c:pt>
                <c:pt idx="32">
                  <c:v>43962.504166666666</c:v>
                </c:pt>
                <c:pt idx="33">
                  <c:v>43963.507638888892</c:v>
                </c:pt>
                <c:pt idx="34">
                  <c:v>43964.504861111112</c:v>
                </c:pt>
                <c:pt idx="35">
                  <c:v>43965.506249999999</c:v>
                </c:pt>
                <c:pt idx="36">
                  <c:v>43966.509722222225</c:v>
                </c:pt>
                <c:pt idx="37">
                  <c:v>43969.50277777778</c:v>
                </c:pt>
                <c:pt idx="38">
                  <c:v>43970.507638888892</c:v>
                </c:pt>
                <c:pt idx="39">
                  <c:v>43971.506249999999</c:v>
                </c:pt>
                <c:pt idx="40">
                  <c:v>43972.504166666666</c:v>
                </c:pt>
                <c:pt idx="41">
                  <c:v>43973.506249999999</c:v>
                </c:pt>
                <c:pt idx="42">
                  <c:v>43977.505555555559</c:v>
                </c:pt>
                <c:pt idx="43">
                  <c:v>43978.504166666666</c:v>
                </c:pt>
                <c:pt idx="44">
                  <c:v>43979.504861111112</c:v>
                </c:pt>
                <c:pt idx="45">
                  <c:v>43980.508333333331</c:v>
                </c:pt>
                <c:pt idx="46">
                  <c:v>43983.504166666666</c:v>
                </c:pt>
                <c:pt idx="47">
                  <c:v>43984.50277777778</c:v>
                </c:pt>
                <c:pt idx="48">
                  <c:v>43985.503472222219</c:v>
                </c:pt>
                <c:pt idx="49">
                  <c:v>43987.504166666666</c:v>
                </c:pt>
                <c:pt idx="50">
                  <c:v>43990.507638888892</c:v>
                </c:pt>
                <c:pt idx="51">
                  <c:v>43991.509722222225</c:v>
                </c:pt>
                <c:pt idx="52">
                  <c:v>43992.509027777778</c:v>
                </c:pt>
                <c:pt idx="53">
                  <c:v>43993.509722222225</c:v>
                </c:pt>
                <c:pt idx="54">
                  <c:v>43994.506944444445</c:v>
                </c:pt>
                <c:pt idx="55">
                  <c:v>43997.517361111109</c:v>
                </c:pt>
                <c:pt idx="56">
                  <c:v>43998.507638888892</c:v>
                </c:pt>
                <c:pt idx="57">
                  <c:v>43999.508333333331</c:v>
                </c:pt>
                <c:pt idx="58">
                  <c:v>44000.507638888892</c:v>
                </c:pt>
                <c:pt idx="59">
                  <c:v>44001.5</c:v>
                </c:pt>
                <c:pt idx="60">
                  <c:v>44004.5</c:v>
                </c:pt>
                <c:pt idx="61">
                  <c:v>44005.509722222225</c:v>
                </c:pt>
                <c:pt idx="62">
                  <c:v>44006.506944444445</c:v>
                </c:pt>
                <c:pt idx="63">
                  <c:v>44007.509722222225</c:v>
                </c:pt>
                <c:pt idx="64">
                  <c:v>44011.505555555559</c:v>
                </c:pt>
                <c:pt idx="65">
                  <c:v>44012.507638888892</c:v>
                </c:pt>
                <c:pt idx="66">
                  <c:v>44013.511111111111</c:v>
                </c:pt>
                <c:pt idx="67">
                  <c:v>44014.502083333333</c:v>
                </c:pt>
                <c:pt idx="68">
                  <c:v>44015.51458333333</c:v>
                </c:pt>
                <c:pt idx="69">
                  <c:v>44018.51458333333</c:v>
                </c:pt>
                <c:pt idx="70">
                  <c:v>44019.507638888892</c:v>
                </c:pt>
                <c:pt idx="71">
                  <c:v>44020.505555555559</c:v>
                </c:pt>
                <c:pt idx="72">
                  <c:v>44021.508333333331</c:v>
                </c:pt>
                <c:pt idx="73">
                  <c:v>44025.51458333333</c:v>
                </c:pt>
                <c:pt idx="74">
                  <c:v>44026.511805555558</c:v>
                </c:pt>
                <c:pt idx="75">
                  <c:v>44027.505555555559</c:v>
                </c:pt>
                <c:pt idx="76">
                  <c:v>44028.51458333333</c:v>
                </c:pt>
                <c:pt idx="77">
                  <c:v>44029.507638888892</c:v>
                </c:pt>
                <c:pt idx="78">
                  <c:v>44032.521527777775</c:v>
                </c:pt>
                <c:pt idx="79">
                  <c:v>44033.511805555558</c:v>
                </c:pt>
                <c:pt idx="80">
                  <c:v>44034.505555555559</c:v>
                </c:pt>
                <c:pt idx="81">
                  <c:v>44035.506249999999</c:v>
                </c:pt>
                <c:pt idx="82">
                  <c:v>44036.519444444442</c:v>
                </c:pt>
                <c:pt idx="83">
                  <c:v>44039.510416666664</c:v>
                </c:pt>
                <c:pt idx="84">
                  <c:v>44040.523611111108</c:v>
                </c:pt>
                <c:pt idx="85">
                  <c:v>44041.511805555558</c:v>
                </c:pt>
                <c:pt idx="86">
                  <c:v>44042.511111111111</c:v>
                </c:pt>
                <c:pt idx="87">
                  <c:v>44043.515277777777</c:v>
                </c:pt>
                <c:pt idx="88">
                  <c:v>44046.506249999999</c:v>
                </c:pt>
                <c:pt idx="89">
                  <c:v>44047.509722222225</c:v>
                </c:pt>
                <c:pt idx="90">
                  <c:v>44048.518055555556</c:v>
                </c:pt>
                <c:pt idx="91">
                  <c:v>44049.504166666666</c:v>
                </c:pt>
                <c:pt idx="92">
                  <c:v>44050.507638888892</c:v>
                </c:pt>
                <c:pt idx="93">
                  <c:v>44053.522916666669</c:v>
                </c:pt>
                <c:pt idx="94">
                  <c:v>44054.518750000003</c:v>
                </c:pt>
                <c:pt idx="95">
                  <c:v>44055.518055555556</c:v>
                </c:pt>
                <c:pt idx="96">
                  <c:v>44056.51666666667</c:v>
                </c:pt>
                <c:pt idx="97">
                  <c:v>44057.524305555555</c:v>
                </c:pt>
                <c:pt idx="98">
                  <c:v>44060.5</c:v>
                </c:pt>
                <c:pt idx="99">
                  <c:v>44061.515277777777</c:v>
                </c:pt>
                <c:pt idx="100">
                  <c:v>44062.501388888886</c:v>
                </c:pt>
                <c:pt idx="101">
                  <c:v>44064.5</c:v>
                </c:pt>
                <c:pt idx="102">
                  <c:v>44067.50277777778</c:v>
                </c:pt>
                <c:pt idx="103">
                  <c:v>44068.5</c:v>
                </c:pt>
                <c:pt idx="104">
                  <c:v>44082.52847222222</c:v>
                </c:pt>
                <c:pt idx="105">
                  <c:v>44096.5</c:v>
                </c:pt>
                <c:pt idx="106">
                  <c:v>44113.5</c:v>
                </c:pt>
                <c:pt idx="107">
                  <c:v>44124.5</c:v>
                </c:pt>
                <c:pt idx="108">
                  <c:v>44138.5</c:v>
                </c:pt>
                <c:pt idx="109">
                  <c:v>44152.5</c:v>
                </c:pt>
                <c:pt idx="110">
                  <c:v>44166.5</c:v>
                </c:pt>
                <c:pt idx="111">
                  <c:v>44180.5</c:v>
                </c:pt>
                <c:pt idx="112">
                  <c:v>44208.5</c:v>
                </c:pt>
                <c:pt idx="113">
                  <c:v>44222.5</c:v>
                </c:pt>
                <c:pt idx="114">
                  <c:v>44250</c:v>
                </c:pt>
                <c:pt idx="115">
                  <c:v>44264</c:v>
                </c:pt>
                <c:pt idx="116">
                  <c:v>44278</c:v>
                </c:pt>
                <c:pt idx="117">
                  <c:v>44292</c:v>
                </c:pt>
                <c:pt idx="118">
                  <c:v>44306</c:v>
                </c:pt>
                <c:pt idx="119">
                  <c:v>44320</c:v>
                </c:pt>
                <c:pt idx="120">
                  <c:v>44334</c:v>
                </c:pt>
                <c:pt idx="121">
                  <c:v>44348</c:v>
                </c:pt>
                <c:pt idx="122">
                  <c:v>44362</c:v>
                </c:pt>
                <c:pt idx="123">
                  <c:v>44376</c:v>
                </c:pt>
                <c:pt idx="124">
                  <c:v>44390</c:v>
                </c:pt>
                <c:pt idx="125">
                  <c:v>44404</c:v>
                </c:pt>
                <c:pt idx="126">
                  <c:v>44419</c:v>
                </c:pt>
                <c:pt idx="127">
                  <c:v>44432</c:v>
                </c:pt>
                <c:pt idx="128">
                  <c:v>44446</c:v>
                </c:pt>
                <c:pt idx="129">
                  <c:v>44460</c:v>
                </c:pt>
                <c:pt idx="130">
                  <c:v>44474</c:v>
                </c:pt>
                <c:pt idx="131">
                  <c:v>44488</c:v>
                </c:pt>
                <c:pt idx="132">
                  <c:v>44502</c:v>
                </c:pt>
                <c:pt idx="133">
                  <c:v>44516</c:v>
                </c:pt>
                <c:pt idx="134">
                  <c:v>44530</c:v>
                </c:pt>
                <c:pt idx="135">
                  <c:v>44544</c:v>
                </c:pt>
                <c:pt idx="136">
                  <c:v>44559</c:v>
                </c:pt>
                <c:pt idx="137">
                  <c:v>44572</c:v>
                </c:pt>
                <c:pt idx="138">
                  <c:v>44586</c:v>
                </c:pt>
                <c:pt idx="139">
                  <c:v>44600</c:v>
                </c:pt>
                <c:pt idx="140">
                  <c:v>44614</c:v>
                </c:pt>
                <c:pt idx="141">
                  <c:v>44628</c:v>
                </c:pt>
                <c:pt idx="142">
                  <c:v>44642</c:v>
                </c:pt>
                <c:pt idx="143">
                  <c:v>44656</c:v>
                </c:pt>
                <c:pt idx="144">
                  <c:v>44670</c:v>
                </c:pt>
                <c:pt idx="145">
                  <c:v>44684</c:v>
                </c:pt>
                <c:pt idx="146">
                  <c:v>44698</c:v>
                </c:pt>
                <c:pt idx="147">
                  <c:v>44712</c:v>
                </c:pt>
                <c:pt idx="148">
                  <c:v>44726</c:v>
                </c:pt>
                <c:pt idx="149">
                  <c:v>44740</c:v>
                </c:pt>
                <c:pt idx="150">
                  <c:v>44754</c:v>
                </c:pt>
                <c:pt idx="151">
                  <c:v>44768</c:v>
                </c:pt>
                <c:pt idx="152">
                  <c:v>44782</c:v>
                </c:pt>
                <c:pt idx="153">
                  <c:v>44796</c:v>
                </c:pt>
                <c:pt idx="154">
                  <c:v>44810</c:v>
                </c:pt>
                <c:pt idx="155">
                  <c:v>44824</c:v>
                </c:pt>
                <c:pt idx="156">
                  <c:v>44838</c:v>
                </c:pt>
                <c:pt idx="157">
                  <c:v>44853</c:v>
                </c:pt>
                <c:pt idx="158">
                  <c:v>44866</c:v>
                </c:pt>
                <c:pt idx="159">
                  <c:v>44880</c:v>
                </c:pt>
                <c:pt idx="160">
                  <c:v>44894</c:v>
                </c:pt>
                <c:pt idx="161">
                  <c:v>44908</c:v>
                </c:pt>
                <c:pt idx="162">
                  <c:v>44925</c:v>
                </c:pt>
                <c:pt idx="163">
                  <c:v>44936</c:v>
                </c:pt>
                <c:pt idx="164">
                  <c:v>44950</c:v>
                </c:pt>
                <c:pt idx="165">
                  <c:v>44964</c:v>
                </c:pt>
                <c:pt idx="166">
                  <c:v>44978</c:v>
                </c:pt>
                <c:pt idx="167">
                  <c:v>44992</c:v>
                </c:pt>
                <c:pt idx="168">
                  <c:v>45006</c:v>
                </c:pt>
                <c:pt idx="169">
                  <c:v>45020</c:v>
                </c:pt>
                <c:pt idx="170">
                  <c:v>45034</c:v>
                </c:pt>
                <c:pt idx="171">
                  <c:v>45048</c:v>
                </c:pt>
                <c:pt idx="172">
                  <c:v>45062</c:v>
                </c:pt>
                <c:pt idx="173">
                  <c:v>45076</c:v>
                </c:pt>
                <c:pt idx="174">
                  <c:v>45090</c:v>
                </c:pt>
                <c:pt idx="175">
                  <c:v>45104</c:v>
                </c:pt>
                <c:pt idx="176">
                  <c:v>45118</c:v>
                </c:pt>
                <c:pt idx="177">
                  <c:v>45132</c:v>
                </c:pt>
                <c:pt idx="178">
                  <c:v>45146</c:v>
                </c:pt>
                <c:pt idx="179">
                  <c:v>45160</c:v>
                </c:pt>
                <c:pt idx="180">
                  <c:v>45174</c:v>
                </c:pt>
                <c:pt idx="181">
                  <c:v>45188</c:v>
                </c:pt>
                <c:pt idx="182">
                  <c:v>45202</c:v>
                </c:pt>
                <c:pt idx="183">
                  <c:v>45216</c:v>
                </c:pt>
                <c:pt idx="184">
                  <c:v>45230</c:v>
                </c:pt>
                <c:pt idx="185">
                  <c:v>45244</c:v>
                </c:pt>
                <c:pt idx="186">
                  <c:v>45258</c:v>
                </c:pt>
                <c:pt idx="187">
                  <c:v>45273</c:v>
                </c:pt>
                <c:pt idx="188">
                  <c:v>45292</c:v>
                </c:pt>
                <c:pt idx="189">
                  <c:v>45300</c:v>
                </c:pt>
                <c:pt idx="190">
                  <c:v>45314</c:v>
                </c:pt>
                <c:pt idx="191">
                  <c:v>45328</c:v>
                </c:pt>
                <c:pt idx="192">
                  <c:v>45342</c:v>
                </c:pt>
                <c:pt idx="193">
                  <c:v>45356</c:v>
                </c:pt>
                <c:pt idx="194">
                  <c:v>45370</c:v>
                </c:pt>
                <c:pt idx="195">
                  <c:v>45384</c:v>
                </c:pt>
                <c:pt idx="196">
                  <c:v>45396</c:v>
                </c:pt>
                <c:pt idx="197">
                  <c:v>45426</c:v>
                </c:pt>
                <c:pt idx="198">
                  <c:v>45440</c:v>
                </c:pt>
                <c:pt idx="199">
                  <c:v>45454</c:v>
                </c:pt>
                <c:pt idx="200">
                  <c:v>45468</c:v>
                </c:pt>
                <c:pt idx="201">
                  <c:v>45482</c:v>
                </c:pt>
                <c:pt idx="202">
                  <c:v>45496</c:v>
                </c:pt>
                <c:pt idx="203">
                  <c:v>45510</c:v>
                </c:pt>
                <c:pt idx="204">
                  <c:v>45524</c:v>
                </c:pt>
                <c:pt idx="205">
                  <c:v>45552</c:v>
                </c:pt>
                <c:pt idx="206">
                  <c:v>45566</c:v>
                </c:pt>
                <c:pt idx="207">
                  <c:v>45580</c:v>
                </c:pt>
                <c:pt idx="208">
                  <c:v>45594</c:v>
                </c:pt>
                <c:pt idx="209">
                  <c:v>45608</c:v>
                </c:pt>
                <c:pt idx="210">
                  <c:v>45622</c:v>
                </c:pt>
                <c:pt idx="211">
                  <c:v>45636</c:v>
                </c:pt>
                <c:pt idx="212">
                  <c:v>45650</c:v>
                </c:pt>
                <c:pt idx="213">
                  <c:v>45664</c:v>
                </c:pt>
                <c:pt idx="214">
                  <c:v>45678</c:v>
                </c:pt>
                <c:pt idx="215">
                  <c:v>45692</c:v>
                </c:pt>
                <c:pt idx="216">
                  <c:v>45706</c:v>
                </c:pt>
                <c:pt idx="217">
                  <c:v>45720</c:v>
                </c:pt>
                <c:pt idx="218">
                  <c:v>45734</c:v>
                </c:pt>
                <c:pt idx="219">
                  <c:v>45748</c:v>
                </c:pt>
                <c:pt idx="220">
                  <c:v>45762</c:v>
                </c:pt>
                <c:pt idx="221">
                  <c:v>45783</c:v>
                </c:pt>
                <c:pt idx="222">
                  <c:v>45790</c:v>
                </c:pt>
                <c:pt idx="223">
                  <c:v>45804</c:v>
                </c:pt>
                <c:pt idx="224">
                  <c:v>45818</c:v>
                </c:pt>
                <c:pt idx="225">
                  <c:v>45832</c:v>
                </c:pt>
                <c:pt idx="226">
                  <c:v>45846</c:v>
                </c:pt>
                <c:pt idx="227">
                  <c:v>45860</c:v>
                </c:pt>
                <c:pt idx="228">
                  <c:v>45874</c:v>
                </c:pt>
                <c:pt idx="229">
                  <c:v>45888</c:v>
                </c:pt>
                <c:pt idx="230">
                  <c:v>45902</c:v>
                </c:pt>
                <c:pt idx="231">
                  <c:v>45916</c:v>
                </c:pt>
                <c:pt idx="232">
                  <c:v>45930</c:v>
                </c:pt>
                <c:pt idx="233">
                  <c:v>45944</c:v>
                </c:pt>
                <c:pt idx="234">
                  <c:v>45958</c:v>
                </c:pt>
                <c:pt idx="235">
                  <c:v>45986</c:v>
                </c:pt>
                <c:pt idx="236">
                  <c:v>46000</c:v>
                </c:pt>
                <c:pt idx="237">
                  <c:v>46021</c:v>
                </c:pt>
                <c:pt idx="238">
                  <c:v>46028</c:v>
                </c:pt>
                <c:pt idx="239">
                  <c:v>46042</c:v>
                </c:pt>
                <c:pt idx="240">
                  <c:v>46056</c:v>
                </c:pt>
                <c:pt idx="241">
                  <c:v>46070</c:v>
                </c:pt>
                <c:pt idx="242">
                  <c:v>46084</c:v>
                </c:pt>
              </c:numCache>
            </c:numRef>
          </c:cat>
          <c:val>
            <c:numRef>
              <c:f>'Rental supply by price'!$G$9:$G$251</c:f>
              <c:numCache>
                <c:formatCode>#,##0</c:formatCode>
                <c:ptCount val="243"/>
                <c:pt idx="0">
                  <c:v>1669</c:v>
                </c:pt>
                <c:pt idx="1">
                  <c:v>1636</c:v>
                </c:pt>
                <c:pt idx="2">
                  <c:v>1634</c:v>
                </c:pt>
                <c:pt idx="3">
                  <c:v>1640</c:v>
                </c:pt>
                <c:pt idx="4">
                  <c:v>1650</c:v>
                </c:pt>
                <c:pt idx="5">
                  <c:v>1649</c:v>
                </c:pt>
                <c:pt idx="6">
                  <c:v>1664</c:v>
                </c:pt>
                <c:pt idx="7">
                  <c:v>1655</c:v>
                </c:pt>
                <c:pt idx="8">
                  <c:v>1655</c:v>
                </c:pt>
                <c:pt idx="9">
                  <c:v>1666</c:v>
                </c:pt>
                <c:pt idx="10">
                  <c:v>1657</c:v>
                </c:pt>
                <c:pt idx="11">
                  <c:v>1663</c:v>
                </c:pt>
                <c:pt idx="12">
                  <c:v>1662</c:v>
                </c:pt>
                <c:pt idx="13">
                  <c:v>1676</c:v>
                </c:pt>
                <c:pt idx="14">
                  <c:v>1676</c:v>
                </c:pt>
                <c:pt idx="15">
                  <c:v>1685</c:v>
                </c:pt>
                <c:pt idx="16">
                  <c:v>1710</c:v>
                </c:pt>
                <c:pt idx="17">
                  <c:v>1708</c:v>
                </c:pt>
                <c:pt idx="18">
                  <c:v>1707</c:v>
                </c:pt>
                <c:pt idx="19">
                  <c:v>1729</c:v>
                </c:pt>
                <c:pt idx="20">
                  <c:v>1740</c:v>
                </c:pt>
                <c:pt idx="21">
                  <c:v>1729</c:v>
                </c:pt>
                <c:pt idx="22">
                  <c:v>1750</c:v>
                </c:pt>
                <c:pt idx="23">
                  <c:v>1757</c:v>
                </c:pt>
                <c:pt idx="24">
                  <c:v>1776</c:v>
                </c:pt>
                <c:pt idx="25">
                  <c:v>1792</c:v>
                </c:pt>
                <c:pt idx="26">
                  <c:v>1792</c:v>
                </c:pt>
                <c:pt idx="27">
                  <c:v>1812</c:v>
                </c:pt>
                <c:pt idx="28">
                  <c:v>1820</c:v>
                </c:pt>
                <c:pt idx="29">
                  <c:v>1819</c:v>
                </c:pt>
                <c:pt idx="30">
                  <c:v>1823</c:v>
                </c:pt>
                <c:pt idx="31">
                  <c:v>1839</c:v>
                </c:pt>
                <c:pt idx="32">
                  <c:v>1853</c:v>
                </c:pt>
                <c:pt idx="33" formatCode="General">
                  <c:v>1878</c:v>
                </c:pt>
                <c:pt idx="34" formatCode="General">
                  <c:v>1899</c:v>
                </c:pt>
                <c:pt idx="35">
                  <c:v>1915</c:v>
                </c:pt>
                <c:pt idx="36">
                  <c:v>1938</c:v>
                </c:pt>
                <c:pt idx="37">
                  <c:v>1859</c:v>
                </c:pt>
                <c:pt idx="38">
                  <c:v>1884</c:v>
                </c:pt>
                <c:pt idx="39">
                  <c:v>1851</c:v>
                </c:pt>
                <c:pt idx="40">
                  <c:v>1864</c:v>
                </c:pt>
                <c:pt idx="41">
                  <c:v>1867</c:v>
                </c:pt>
                <c:pt idx="42">
                  <c:v>1875</c:v>
                </c:pt>
                <c:pt idx="43">
                  <c:v>1887</c:v>
                </c:pt>
                <c:pt idx="44">
                  <c:v>1907</c:v>
                </c:pt>
                <c:pt idx="45">
                  <c:v>1901</c:v>
                </c:pt>
                <c:pt idx="46">
                  <c:v>1892</c:v>
                </c:pt>
                <c:pt idx="47">
                  <c:v>1910</c:v>
                </c:pt>
                <c:pt idx="48">
                  <c:v>1930</c:v>
                </c:pt>
                <c:pt idx="49">
                  <c:v>1952</c:v>
                </c:pt>
                <c:pt idx="50">
                  <c:v>1947</c:v>
                </c:pt>
                <c:pt idx="51">
                  <c:v>1935</c:v>
                </c:pt>
                <c:pt idx="52">
                  <c:v>1964</c:v>
                </c:pt>
                <c:pt idx="53">
                  <c:v>1977</c:v>
                </c:pt>
                <c:pt idx="54">
                  <c:v>1971</c:v>
                </c:pt>
                <c:pt idx="55">
                  <c:v>2010</c:v>
                </c:pt>
                <c:pt idx="56">
                  <c:v>2016</c:v>
                </c:pt>
                <c:pt idx="57">
                  <c:v>2031</c:v>
                </c:pt>
                <c:pt idx="58">
                  <c:v>2034</c:v>
                </c:pt>
                <c:pt idx="59">
                  <c:v>2023</c:v>
                </c:pt>
                <c:pt idx="60">
                  <c:v>1990</c:v>
                </c:pt>
                <c:pt idx="61">
                  <c:v>1976</c:v>
                </c:pt>
                <c:pt idx="62">
                  <c:v>1971</c:v>
                </c:pt>
                <c:pt idx="63">
                  <c:v>1976</c:v>
                </c:pt>
                <c:pt idx="64">
                  <c:v>1982</c:v>
                </c:pt>
                <c:pt idx="65">
                  <c:v>2002</c:v>
                </c:pt>
                <c:pt idx="66">
                  <c:v>2019</c:v>
                </c:pt>
                <c:pt idx="67">
                  <c:v>2031</c:v>
                </c:pt>
                <c:pt idx="68">
                  <c:v>2032</c:v>
                </c:pt>
                <c:pt idx="69">
                  <c:v>1999</c:v>
                </c:pt>
                <c:pt idx="70">
                  <c:v>2024</c:v>
                </c:pt>
                <c:pt idx="71">
                  <c:v>2048</c:v>
                </c:pt>
                <c:pt idx="72">
                  <c:v>2072</c:v>
                </c:pt>
                <c:pt idx="73">
                  <c:v>1181</c:v>
                </c:pt>
                <c:pt idx="74">
                  <c:v>2225</c:v>
                </c:pt>
                <c:pt idx="75">
                  <c:v>2075</c:v>
                </c:pt>
                <c:pt idx="76">
                  <c:v>2077</c:v>
                </c:pt>
                <c:pt idx="77">
                  <c:v>2092</c:v>
                </c:pt>
                <c:pt idx="78">
                  <c:v>2087</c:v>
                </c:pt>
                <c:pt idx="79">
                  <c:v>2090</c:v>
                </c:pt>
                <c:pt idx="80">
                  <c:v>2096</c:v>
                </c:pt>
                <c:pt idx="81">
                  <c:v>2103</c:v>
                </c:pt>
                <c:pt idx="82">
                  <c:v>2098</c:v>
                </c:pt>
                <c:pt idx="83">
                  <c:v>2107</c:v>
                </c:pt>
                <c:pt idx="84">
                  <c:v>2099</c:v>
                </c:pt>
                <c:pt idx="85">
                  <c:v>2109</c:v>
                </c:pt>
                <c:pt idx="86">
                  <c:v>2124</c:v>
                </c:pt>
                <c:pt idx="87">
                  <c:v>2111</c:v>
                </c:pt>
                <c:pt idx="88">
                  <c:v>2070</c:v>
                </c:pt>
                <c:pt idx="89">
                  <c:v>2060</c:v>
                </c:pt>
                <c:pt idx="90">
                  <c:v>2055</c:v>
                </c:pt>
                <c:pt idx="91">
                  <c:v>2054</c:v>
                </c:pt>
                <c:pt idx="92">
                  <c:v>2071</c:v>
                </c:pt>
                <c:pt idx="93">
                  <c:v>2108</c:v>
                </c:pt>
                <c:pt idx="94">
                  <c:v>2107</c:v>
                </c:pt>
                <c:pt idx="95">
                  <c:v>2101</c:v>
                </c:pt>
                <c:pt idx="96">
                  <c:v>2113</c:v>
                </c:pt>
                <c:pt idx="97">
                  <c:v>2107</c:v>
                </c:pt>
                <c:pt idx="98">
                  <c:v>2120</c:v>
                </c:pt>
                <c:pt idx="99">
                  <c:v>2132</c:v>
                </c:pt>
                <c:pt idx="100">
                  <c:v>2147</c:v>
                </c:pt>
                <c:pt idx="101">
                  <c:v>2111</c:v>
                </c:pt>
                <c:pt idx="102">
                  <c:v>2106</c:v>
                </c:pt>
                <c:pt idx="103">
                  <c:v>2119</c:v>
                </c:pt>
                <c:pt idx="104">
                  <c:v>2079</c:v>
                </c:pt>
                <c:pt idx="105">
                  <c:v>2133</c:v>
                </c:pt>
                <c:pt idx="106">
                  <c:v>2192</c:v>
                </c:pt>
                <c:pt idx="107">
                  <c:v>2353</c:v>
                </c:pt>
                <c:pt idx="108">
                  <c:v>2557</c:v>
                </c:pt>
                <c:pt idx="109">
                  <c:v>2701</c:v>
                </c:pt>
                <c:pt idx="110">
                  <c:v>2595</c:v>
                </c:pt>
                <c:pt idx="111">
                  <c:v>2587</c:v>
                </c:pt>
                <c:pt idx="112">
                  <c:v>2432</c:v>
                </c:pt>
                <c:pt idx="113">
                  <c:v>2440</c:v>
                </c:pt>
                <c:pt idx="114">
                  <c:v>2560</c:v>
                </c:pt>
                <c:pt idx="115">
                  <c:v>2526</c:v>
                </c:pt>
                <c:pt idx="116">
                  <c:v>2438</c:v>
                </c:pt>
                <c:pt idx="117" formatCode="General">
                  <c:v>2432</c:v>
                </c:pt>
                <c:pt idx="118" formatCode="General">
                  <c:v>2430</c:v>
                </c:pt>
                <c:pt idx="119" formatCode="General">
                  <c:v>2412</c:v>
                </c:pt>
                <c:pt idx="120" formatCode="General">
                  <c:v>2399</c:v>
                </c:pt>
                <c:pt idx="121" formatCode="General">
                  <c:v>2269</c:v>
                </c:pt>
                <c:pt idx="122" formatCode="General">
                  <c:v>2190</c:v>
                </c:pt>
                <c:pt idx="123" formatCode="General">
                  <c:v>2091</c:v>
                </c:pt>
                <c:pt idx="124" formatCode="General">
                  <c:v>2158</c:v>
                </c:pt>
                <c:pt idx="125" formatCode="General">
                  <c:v>2021</c:v>
                </c:pt>
                <c:pt idx="126" formatCode="General">
                  <c:v>1748</c:v>
                </c:pt>
                <c:pt idx="127" formatCode="General">
                  <c:v>1645</c:v>
                </c:pt>
                <c:pt idx="128" formatCode="General">
                  <c:v>1436</c:v>
                </c:pt>
                <c:pt idx="129" formatCode="General">
                  <c:v>1249</c:v>
                </c:pt>
                <c:pt idx="130" formatCode="General">
                  <c:v>1171</c:v>
                </c:pt>
                <c:pt idx="131" formatCode="General">
                  <c:v>1116</c:v>
                </c:pt>
                <c:pt idx="132" formatCode="General">
                  <c:v>993</c:v>
                </c:pt>
                <c:pt idx="133" formatCode="General">
                  <c:v>913</c:v>
                </c:pt>
                <c:pt idx="134" formatCode="General">
                  <c:v>901</c:v>
                </c:pt>
                <c:pt idx="135" formatCode="General">
                  <c:v>923</c:v>
                </c:pt>
                <c:pt idx="136" formatCode="General">
                  <c:v>864</c:v>
                </c:pt>
                <c:pt idx="137" formatCode="General">
                  <c:v>868</c:v>
                </c:pt>
                <c:pt idx="138" formatCode="General">
                  <c:v>812</c:v>
                </c:pt>
                <c:pt idx="139" formatCode="General">
                  <c:v>739</c:v>
                </c:pt>
                <c:pt idx="140" formatCode="General">
                  <c:v>659</c:v>
                </c:pt>
                <c:pt idx="141" formatCode="General">
                  <c:v>600</c:v>
                </c:pt>
                <c:pt idx="142" formatCode="General">
                  <c:v>573</c:v>
                </c:pt>
                <c:pt idx="143" formatCode="General">
                  <c:v>520</c:v>
                </c:pt>
                <c:pt idx="144" formatCode="General">
                  <c:v>503</c:v>
                </c:pt>
                <c:pt idx="145" formatCode="General">
                  <c:v>488</c:v>
                </c:pt>
                <c:pt idx="146" formatCode="General">
                  <c:v>399</c:v>
                </c:pt>
                <c:pt idx="147" formatCode="General">
                  <c:v>403</c:v>
                </c:pt>
                <c:pt idx="148" formatCode="General">
                  <c:v>388</c:v>
                </c:pt>
                <c:pt idx="149" formatCode="General">
                  <c:v>325</c:v>
                </c:pt>
                <c:pt idx="150" formatCode="General">
                  <c:v>349</c:v>
                </c:pt>
                <c:pt idx="151" formatCode="General">
                  <c:v>318</c:v>
                </c:pt>
                <c:pt idx="152" formatCode="General">
                  <c:v>261</c:v>
                </c:pt>
                <c:pt idx="153" formatCode="General">
                  <c:v>230</c:v>
                </c:pt>
                <c:pt idx="154" formatCode="General">
                  <c:v>203</c:v>
                </c:pt>
                <c:pt idx="155" formatCode="General">
                  <c:v>179</c:v>
                </c:pt>
                <c:pt idx="156" formatCode="General">
                  <c:v>159</c:v>
                </c:pt>
                <c:pt idx="157" formatCode="General">
                  <c:v>153</c:v>
                </c:pt>
                <c:pt idx="158" formatCode="General">
                  <c:v>130</c:v>
                </c:pt>
                <c:pt idx="159" formatCode="General">
                  <c:v>127</c:v>
                </c:pt>
                <c:pt idx="160" formatCode="General">
                  <c:v>131</c:v>
                </c:pt>
                <c:pt idx="161" formatCode="General">
                  <c:v>135</c:v>
                </c:pt>
                <c:pt idx="162" formatCode="General">
                  <c:v>109</c:v>
                </c:pt>
                <c:pt idx="163" formatCode="General">
                  <c:v>117</c:v>
                </c:pt>
                <c:pt idx="164" formatCode="General">
                  <c:v>99</c:v>
                </c:pt>
                <c:pt idx="165" formatCode="General">
                  <c:v>101</c:v>
                </c:pt>
                <c:pt idx="166" formatCode="General">
                  <c:v>74</c:v>
                </c:pt>
                <c:pt idx="167" formatCode="General">
                  <c:v>93</c:v>
                </c:pt>
                <c:pt idx="168" formatCode="General">
                  <c:v>67</c:v>
                </c:pt>
                <c:pt idx="169" formatCode="General">
                  <c:v>64</c:v>
                </c:pt>
                <c:pt idx="170" formatCode="General">
                  <c:v>46</c:v>
                </c:pt>
                <c:pt idx="171" formatCode="General">
                  <c:v>52</c:v>
                </c:pt>
                <c:pt idx="172" formatCode="General">
                  <c:v>54</c:v>
                </c:pt>
                <c:pt idx="173" formatCode="General">
                  <c:v>40</c:v>
                </c:pt>
                <c:pt idx="174" formatCode="General">
                  <c:v>56</c:v>
                </c:pt>
                <c:pt idx="175" formatCode="General">
                  <c:v>43</c:v>
                </c:pt>
                <c:pt idx="176" formatCode="General">
                  <c:v>38</c:v>
                </c:pt>
                <c:pt idx="177" formatCode="General">
                  <c:v>38</c:v>
                </c:pt>
                <c:pt idx="178" formatCode="General">
                  <c:v>50</c:v>
                </c:pt>
                <c:pt idx="179" formatCode="General">
                  <c:v>36</c:v>
                </c:pt>
                <c:pt idx="180" formatCode="General">
                  <c:v>26</c:v>
                </c:pt>
                <c:pt idx="181" formatCode="General">
                  <c:v>32</c:v>
                </c:pt>
                <c:pt idx="182" formatCode="General">
                  <c:v>29</c:v>
                </c:pt>
                <c:pt idx="183" formatCode="General">
                  <c:v>28</c:v>
                </c:pt>
                <c:pt idx="184" formatCode="General">
                  <c:v>33</c:v>
                </c:pt>
                <c:pt idx="185" formatCode="General">
                  <c:v>45</c:v>
                </c:pt>
                <c:pt idx="186" formatCode="General">
                  <c:v>38</c:v>
                </c:pt>
                <c:pt idx="187" formatCode="General">
                  <c:v>43</c:v>
                </c:pt>
                <c:pt idx="188" formatCode="General">
                  <c:v>32</c:v>
                </c:pt>
                <c:pt idx="189" formatCode="General">
                  <c:v>44</c:v>
                </c:pt>
                <c:pt idx="190" formatCode="General">
                  <c:v>43</c:v>
                </c:pt>
                <c:pt idx="191" formatCode="General">
                  <c:v>32</c:v>
                </c:pt>
                <c:pt idx="192" formatCode="General">
                  <c:v>35</c:v>
                </c:pt>
                <c:pt idx="193" formatCode="General">
                  <c:v>39</c:v>
                </c:pt>
                <c:pt idx="194" formatCode="General">
                  <c:v>36</c:v>
                </c:pt>
                <c:pt idx="195" formatCode="General">
                  <c:v>27</c:v>
                </c:pt>
                <c:pt idx="196" formatCode="General">
                  <c:v>24</c:v>
                </c:pt>
                <c:pt idx="197" formatCode="General">
                  <c:v>25</c:v>
                </c:pt>
                <c:pt idx="198" formatCode="General">
                  <c:v>31</c:v>
                </c:pt>
                <c:pt idx="199" formatCode="General">
                  <c:v>19</c:v>
                </c:pt>
                <c:pt idx="200" formatCode="General">
                  <c:v>21</c:v>
                </c:pt>
                <c:pt idx="201" formatCode="General">
                  <c:v>25</c:v>
                </c:pt>
                <c:pt idx="202" formatCode="General">
                  <c:v>29</c:v>
                </c:pt>
                <c:pt idx="203" formatCode="General">
                  <c:v>27</c:v>
                </c:pt>
                <c:pt idx="204" formatCode="General">
                  <c:v>22</c:v>
                </c:pt>
                <c:pt idx="205" formatCode="General">
                  <c:v>35</c:v>
                </c:pt>
                <c:pt idx="206" formatCode="General">
                  <c:v>30</c:v>
                </c:pt>
                <c:pt idx="207" formatCode="General">
                  <c:v>28</c:v>
                </c:pt>
                <c:pt idx="208" formatCode="General">
                  <c:v>25</c:v>
                </c:pt>
                <c:pt idx="209" formatCode="General">
                  <c:v>27</c:v>
                </c:pt>
                <c:pt idx="210" formatCode="General">
                  <c:v>25</c:v>
                </c:pt>
                <c:pt idx="211" formatCode="General">
                  <c:v>32</c:v>
                </c:pt>
                <c:pt idx="212" formatCode="General">
                  <c:v>26</c:v>
                </c:pt>
                <c:pt idx="213" formatCode="General">
                  <c:v>27</c:v>
                </c:pt>
                <c:pt idx="214" formatCode="General">
                  <c:v>32</c:v>
                </c:pt>
                <c:pt idx="215" formatCode="General">
                  <c:v>26</c:v>
                </c:pt>
                <c:pt idx="216" formatCode="General">
                  <c:v>27</c:v>
                </c:pt>
                <c:pt idx="217" formatCode="General">
                  <c:v>28</c:v>
                </c:pt>
                <c:pt idx="218" formatCode="General">
                  <c:v>20</c:v>
                </c:pt>
                <c:pt idx="219" formatCode="General">
                  <c:v>27</c:v>
                </c:pt>
                <c:pt idx="220" formatCode="General">
                  <c:v>26</c:v>
                </c:pt>
                <c:pt idx="221" formatCode="General">
                  <c:v>23</c:v>
                </c:pt>
                <c:pt idx="222" formatCode="General">
                  <c:v>23</c:v>
                </c:pt>
                <c:pt idx="223" formatCode="General">
                  <c:v>20</c:v>
                </c:pt>
                <c:pt idx="224" formatCode="General">
                  <c:v>25</c:v>
                </c:pt>
                <c:pt idx="225" formatCode="General">
                  <c:v>25</c:v>
                </c:pt>
                <c:pt idx="226" formatCode="General">
                  <c:v>28</c:v>
                </c:pt>
                <c:pt idx="227" formatCode="General">
                  <c:v>30</c:v>
                </c:pt>
                <c:pt idx="228" formatCode="General">
                  <c:v>27</c:v>
                </c:pt>
                <c:pt idx="229" formatCode="General">
                  <c:v>33</c:v>
                </c:pt>
                <c:pt idx="230" formatCode="General">
                  <c:v>33</c:v>
                </c:pt>
                <c:pt idx="231" formatCode="General">
                  <c:v>43</c:v>
                </c:pt>
                <c:pt idx="232" formatCode="General">
                  <c:v>29</c:v>
                </c:pt>
                <c:pt idx="233" formatCode="General">
                  <c:v>29</c:v>
                </c:pt>
                <c:pt idx="234" formatCode="General">
                  <c:v>34</c:v>
                </c:pt>
                <c:pt idx="235" formatCode="General">
                  <c:v>42</c:v>
                </c:pt>
                <c:pt idx="236" formatCode="General">
                  <c:v>44</c:v>
                </c:pt>
                <c:pt idx="237" formatCode="General">
                  <c:v>30</c:v>
                </c:pt>
                <c:pt idx="238" formatCode="General">
                  <c:v>35</c:v>
                </c:pt>
                <c:pt idx="239" formatCode="General">
                  <c:v>41</c:v>
                </c:pt>
                <c:pt idx="240" formatCode="General">
                  <c:v>38</c:v>
                </c:pt>
                <c:pt idx="241" formatCode="General">
                  <c:v>40</c:v>
                </c:pt>
                <c:pt idx="242" formatCode="General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695-42D2-B1F9-64EA609903FE}"/>
            </c:ext>
          </c:extLst>
        </c:ser>
        <c:ser>
          <c:idx val="5"/>
          <c:order val="5"/>
          <c:tx>
            <c:strRef>
              <c:f>'Rental supply by price'!$H$7</c:f>
              <c:strCache>
                <c:ptCount val="1"/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'Rental supply by price'!$B$9:$B$251</c:f>
              <c:numCache>
                <c:formatCode>m/d/yy</c:formatCode>
                <c:ptCount val="243"/>
                <c:pt idx="0">
                  <c:v>43915.447916666664</c:v>
                </c:pt>
                <c:pt idx="1">
                  <c:v>43920.563888888886</c:v>
                </c:pt>
                <c:pt idx="2">
                  <c:v>43921.470833333333</c:v>
                </c:pt>
                <c:pt idx="3">
                  <c:v>43922.387499999997</c:v>
                </c:pt>
                <c:pt idx="4">
                  <c:v>43923.652777777781</c:v>
                </c:pt>
                <c:pt idx="5">
                  <c:v>43924.354166666664</c:v>
                </c:pt>
                <c:pt idx="6">
                  <c:v>43926.579861111109</c:v>
                </c:pt>
                <c:pt idx="7">
                  <c:v>43927.569444444445</c:v>
                </c:pt>
                <c:pt idx="8">
                  <c:v>43928.538194444445</c:v>
                </c:pt>
                <c:pt idx="9">
                  <c:v>43929.673611111109</c:v>
                </c:pt>
                <c:pt idx="10">
                  <c:v>43930.503472222219</c:v>
                </c:pt>
                <c:pt idx="11">
                  <c:v>43934.791666666664</c:v>
                </c:pt>
                <c:pt idx="12">
                  <c:v>43935.510416666664</c:v>
                </c:pt>
                <c:pt idx="13">
                  <c:v>43936.510416666664</c:v>
                </c:pt>
                <c:pt idx="14">
                  <c:v>43937.506249999999</c:v>
                </c:pt>
                <c:pt idx="15">
                  <c:v>43938.506249942133</c:v>
                </c:pt>
                <c:pt idx="16">
                  <c:v>43940.365277777775</c:v>
                </c:pt>
                <c:pt idx="17">
                  <c:v>43940.506944444445</c:v>
                </c:pt>
                <c:pt idx="18">
                  <c:v>43941.504861111112</c:v>
                </c:pt>
                <c:pt idx="19">
                  <c:v>43942.504861111112</c:v>
                </c:pt>
                <c:pt idx="20">
                  <c:v>43943.501388888886</c:v>
                </c:pt>
                <c:pt idx="21">
                  <c:v>43944.505555555559</c:v>
                </c:pt>
                <c:pt idx="22">
                  <c:v>43945.501388888886</c:v>
                </c:pt>
                <c:pt idx="23">
                  <c:v>43948.504166666666</c:v>
                </c:pt>
                <c:pt idx="24">
                  <c:v>43949.504166666666</c:v>
                </c:pt>
                <c:pt idx="25">
                  <c:v>43950.502083333333</c:v>
                </c:pt>
                <c:pt idx="26">
                  <c:v>43951.503472222219</c:v>
                </c:pt>
                <c:pt idx="27">
                  <c:v>43952.504166666666</c:v>
                </c:pt>
                <c:pt idx="28">
                  <c:v>43955.505555555559</c:v>
                </c:pt>
                <c:pt idx="29">
                  <c:v>43956.504166666666</c:v>
                </c:pt>
                <c:pt idx="30">
                  <c:v>43957.505555555559</c:v>
                </c:pt>
                <c:pt idx="31">
                  <c:v>43958.50277777778</c:v>
                </c:pt>
                <c:pt idx="32">
                  <c:v>43962.504166666666</c:v>
                </c:pt>
                <c:pt idx="33">
                  <c:v>43963.507638888892</c:v>
                </c:pt>
                <c:pt idx="34">
                  <c:v>43964.504861111112</c:v>
                </c:pt>
                <c:pt idx="35">
                  <c:v>43965.506249999999</c:v>
                </c:pt>
                <c:pt idx="36">
                  <c:v>43966.509722222225</c:v>
                </c:pt>
                <c:pt idx="37">
                  <c:v>43969.50277777778</c:v>
                </c:pt>
                <c:pt idx="38">
                  <c:v>43970.507638888892</c:v>
                </c:pt>
                <c:pt idx="39">
                  <c:v>43971.506249999999</c:v>
                </c:pt>
                <c:pt idx="40">
                  <c:v>43972.504166666666</c:v>
                </c:pt>
                <c:pt idx="41">
                  <c:v>43973.506249999999</c:v>
                </c:pt>
                <c:pt idx="42">
                  <c:v>43977.505555555559</c:v>
                </c:pt>
                <c:pt idx="43">
                  <c:v>43978.504166666666</c:v>
                </c:pt>
                <c:pt idx="44">
                  <c:v>43979.504861111112</c:v>
                </c:pt>
                <c:pt idx="45">
                  <c:v>43980.508333333331</c:v>
                </c:pt>
                <c:pt idx="46">
                  <c:v>43983.504166666666</c:v>
                </c:pt>
                <c:pt idx="47">
                  <c:v>43984.50277777778</c:v>
                </c:pt>
                <c:pt idx="48">
                  <c:v>43985.503472222219</c:v>
                </c:pt>
                <c:pt idx="49">
                  <c:v>43987.504166666666</c:v>
                </c:pt>
                <c:pt idx="50">
                  <c:v>43990.507638888892</c:v>
                </c:pt>
                <c:pt idx="51">
                  <c:v>43991.509722222225</c:v>
                </c:pt>
                <c:pt idx="52">
                  <c:v>43992.509027777778</c:v>
                </c:pt>
                <c:pt idx="53">
                  <c:v>43993.509722222225</c:v>
                </c:pt>
                <c:pt idx="54">
                  <c:v>43994.506944444445</c:v>
                </c:pt>
                <c:pt idx="55">
                  <c:v>43997.517361111109</c:v>
                </c:pt>
                <c:pt idx="56">
                  <c:v>43998.507638888892</c:v>
                </c:pt>
                <c:pt idx="57">
                  <c:v>43999.508333333331</c:v>
                </c:pt>
                <c:pt idx="58">
                  <c:v>44000.507638888892</c:v>
                </c:pt>
                <c:pt idx="59">
                  <c:v>44001.5</c:v>
                </c:pt>
                <c:pt idx="60">
                  <c:v>44004.5</c:v>
                </c:pt>
                <c:pt idx="61">
                  <c:v>44005.509722222225</c:v>
                </c:pt>
                <c:pt idx="62">
                  <c:v>44006.506944444445</c:v>
                </c:pt>
                <c:pt idx="63">
                  <c:v>44007.509722222225</c:v>
                </c:pt>
                <c:pt idx="64">
                  <c:v>44011.505555555559</c:v>
                </c:pt>
                <c:pt idx="65">
                  <c:v>44012.507638888892</c:v>
                </c:pt>
                <c:pt idx="66">
                  <c:v>44013.511111111111</c:v>
                </c:pt>
                <c:pt idx="67">
                  <c:v>44014.502083333333</c:v>
                </c:pt>
                <c:pt idx="68">
                  <c:v>44015.51458333333</c:v>
                </c:pt>
                <c:pt idx="69">
                  <c:v>44018.51458333333</c:v>
                </c:pt>
                <c:pt idx="70">
                  <c:v>44019.507638888892</c:v>
                </c:pt>
                <c:pt idx="71">
                  <c:v>44020.505555555559</c:v>
                </c:pt>
                <c:pt idx="72">
                  <c:v>44021.508333333331</c:v>
                </c:pt>
                <c:pt idx="73">
                  <c:v>44025.51458333333</c:v>
                </c:pt>
                <c:pt idx="74">
                  <c:v>44026.511805555558</c:v>
                </c:pt>
                <c:pt idx="75">
                  <c:v>44027.505555555559</c:v>
                </c:pt>
                <c:pt idx="76">
                  <c:v>44028.51458333333</c:v>
                </c:pt>
                <c:pt idx="77">
                  <c:v>44029.507638888892</c:v>
                </c:pt>
                <c:pt idx="78">
                  <c:v>44032.521527777775</c:v>
                </c:pt>
                <c:pt idx="79">
                  <c:v>44033.511805555558</c:v>
                </c:pt>
                <c:pt idx="80">
                  <c:v>44034.505555555559</c:v>
                </c:pt>
                <c:pt idx="81">
                  <c:v>44035.506249999999</c:v>
                </c:pt>
                <c:pt idx="82">
                  <c:v>44036.519444444442</c:v>
                </c:pt>
                <c:pt idx="83">
                  <c:v>44039.510416666664</c:v>
                </c:pt>
                <c:pt idx="84">
                  <c:v>44040.523611111108</c:v>
                </c:pt>
                <c:pt idx="85">
                  <c:v>44041.511805555558</c:v>
                </c:pt>
                <c:pt idx="86">
                  <c:v>44042.511111111111</c:v>
                </c:pt>
                <c:pt idx="87">
                  <c:v>44043.515277777777</c:v>
                </c:pt>
                <c:pt idx="88">
                  <c:v>44046.506249999999</c:v>
                </c:pt>
                <c:pt idx="89">
                  <c:v>44047.509722222225</c:v>
                </c:pt>
                <c:pt idx="90">
                  <c:v>44048.518055555556</c:v>
                </c:pt>
                <c:pt idx="91">
                  <c:v>44049.504166666666</c:v>
                </c:pt>
                <c:pt idx="92">
                  <c:v>44050.507638888892</c:v>
                </c:pt>
                <c:pt idx="93">
                  <c:v>44053.522916666669</c:v>
                </c:pt>
                <c:pt idx="94">
                  <c:v>44054.518750000003</c:v>
                </c:pt>
                <c:pt idx="95">
                  <c:v>44055.518055555556</c:v>
                </c:pt>
                <c:pt idx="96">
                  <c:v>44056.51666666667</c:v>
                </c:pt>
                <c:pt idx="97">
                  <c:v>44057.524305555555</c:v>
                </c:pt>
                <c:pt idx="98">
                  <c:v>44060.5</c:v>
                </c:pt>
                <c:pt idx="99">
                  <c:v>44061.515277777777</c:v>
                </c:pt>
                <c:pt idx="100">
                  <c:v>44062.501388888886</c:v>
                </c:pt>
                <c:pt idx="101">
                  <c:v>44064.5</c:v>
                </c:pt>
                <c:pt idx="102">
                  <c:v>44067.50277777778</c:v>
                </c:pt>
                <c:pt idx="103">
                  <c:v>44068.5</c:v>
                </c:pt>
                <c:pt idx="104">
                  <c:v>44082.52847222222</c:v>
                </c:pt>
                <c:pt idx="105">
                  <c:v>44096.5</c:v>
                </c:pt>
                <c:pt idx="106">
                  <c:v>44113.5</c:v>
                </c:pt>
                <c:pt idx="107">
                  <c:v>44124.5</c:v>
                </c:pt>
                <c:pt idx="108">
                  <c:v>44138.5</c:v>
                </c:pt>
                <c:pt idx="109">
                  <c:v>44152.5</c:v>
                </c:pt>
                <c:pt idx="110">
                  <c:v>44166.5</c:v>
                </c:pt>
                <c:pt idx="111">
                  <c:v>44180.5</c:v>
                </c:pt>
                <c:pt idx="112">
                  <c:v>44208.5</c:v>
                </c:pt>
                <c:pt idx="113">
                  <c:v>44222.5</c:v>
                </c:pt>
                <c:pt idx="114">
                  <c:v>44250</c:v>
                </c:pt>
                <c:pt idx="115">
                  <c:v>44264</c:v>
                </c:pt>
                <c:pt idx="116">
                  <c:v>44278</c:v>
                </c:pt>
                <c:pt idx="117">
                  <c:v>44292</c:v>
                </c:pt>
                <c:pt idx="118">
                  <c:v>44306</c:v>
                </c:pt>
                <c:pt idx="119">
                  <c:v>44320</c:v>
                </c:pt>
                <c:pt idx="120">
                  <c:v>44334</c:v>
                </c:pt>
                <c:pt idx="121">
                  <c:v>44348</c:v>
                </c:pt>
                <c:pt idx="122">
                  <c:v>44362</c:v>
                </c:pt>
                <c:pt idx="123">
                  <c:v>44376</c:v>
                </c:pt>
                <c:pt idx="124">
                  <c:v>44390</c:v>
                </c:pt>
                <c:pt idx="125">
                  <c:v>44404</c:v>
                </c:pt>
                <c:pt idx="126">
                  <c:v>44419</c:v>
                </c:pt>
                <c:pt idx="127">
                  <c:v>44432</c:v>
                </c:pt>
                <c:pt idx="128">
                  <c:v>44446</c:v>
                </c:pt>
                <c:pt idx="129">
                  <c:v>44460</c:v>
                </c:pt>
                <c:pt idx="130">
                  <c:v>44474</c:v>
                </c:pt>
                <c:pt idx="131">
                  <c:v>44488</c:v>
                </c:pt>
                <c:pt idx="132">
                  <c:v>44502</c:v>
                </c:pt>
                <c:pt idx="133">
                  <c:v>44516</c:v>
                </c:pt>
                <c:pt idx="134">
                  <c:v>44530</c:v>
                </c:pt>
                <c:pt idx="135">
                  <c:v>44544</c:v>
                </c:pt>
                <c:pt idx="136">
                  <c:v>44559</c:v>
                </c:pt>
                <c:pt idx="137">
                  <c:v>44572</c:v>
                </c:pt>
                <c:pt idx="138">
                  <c:v>44586</c:v>
                </c:pt>
                <c:pt idx="139">
                  <c:v>44600</c:v>
                </c:pt>
                <c:pt idx="140">
                  <c:v>44614</c:v>
                </c:pt>
                <c:pt idx="141">
                  <c:v>44628</c:v>
                </c:pt>
                <c:pt idx="142">
                  <c:v>44642</c:v>
                </c:pt>
                <c:pt idx="143">
                  <c:v>44656</c:v>
                </c:pt>
                <c:pt idx="144">
                  <c:v>44670</c:v>
                </c:pt>
                <c:pt idx="145">
                  <c:v>44684</c:v>
                </c:pt>
                <c:pt idx="146">
                  <c:v>44698</c:v>
                </c:pt>
                <c:pt idx="147">
                  <c:v>44712</c:v>
                </c:pt>
                <c:pt idx="148">
                  <c:v>44726</c:v>
                </c:pt>
                <c:pt idx="149">
                  <c:v>44740</c:v>
                </c:pt>
                <c:pt idx="150">
                  <c:v>44754</c:v>
                </c:pt>
                <c:pt idx="151">
                  <c:v>44768</c:v>
                </c:pt>
                <c:pt idx="152">
                  <c:v>44782</c:v>
                </c:pt>
                <c:pt idx="153">
                  <c:v>44796</c:v>
                </c:pt>
                <c:pt idx="154">
                  <c:v>44810</c:v>
                </c:pt>
                <c:pt idx="155">
                  <c:v>44824</c:v>
                </c:pt>
                <c:pt idx="156">
                  <c:v>44838</c:v>
                </c:pt>
                <c:pt idx="157">
                  <c:v>44853</c:v>
                </c:pt>
                <c:pt idx="158">
                  <c:v>44866</c:v>
                </c:pt>
                <c:pt idx="159">
                  <c:v>44880</c:v>
                </c:pt>
                <c:pt idx="160">
                  <c:v>44894</c:v>
                </c:pt>
                <c:pt idx="161">
                  <c:v>44908</c:v>
                </c:pt>
                <c:pt idx="162">
                  <c:v>44925</c:v>
                </c:pt>
                <c:pt idx="163">
                  <c:v>44936</c:v>
                </c:pt>
                <c:pt idx="164">
                  <c:v>44950</c:v>
                </c:pt>
                <c:pt idx="165">
                  <c:v>44964</c:v>
                </c:pt>
                <c:pt idx="166">
                  <c:v>44978</c:v>
                </c:pt>
                <c:pt idx="167">
                  <c:v>44992</c:v>
                </c:pt>
                <c:pt idx="168">
                  <c:v>45006</c:v>
                </c:pt>
                <c:pt idx="169">
                  <c:v>45020</c:v>
                </c:pt>
                <c:pt idx="170">
                  <c:v>45034</c:v>
                </c:pt>
                <c:pt idx="171">
                  <c:v>45048</c:v>
                </c:pt>
                <c:pt idx="172">
                  <c:v>45062</c:v>
                </c:pt>
                <c:pt idx="173">
                  <c:v>45076</c:v>
                </c:pt>
                <c:pt idx="174">
                  <c:v>45090</c:v>
                </c:pt>
                <c:pt idx="175">
                  <c:v>45104</c:v>
                </c:pt>
                <c:pt idx="176">
                  <c:v>45118</c:v>
                </c:pt>
                <c:pt idx="177">
                  <c:v>45132</c:v>
                </c:pt>
                <c:pt idx="178">
                  <c:v>45146</c:v>
                </c:pt>
                <c:pt idx="179">
                  <c:v>45160</c:v>
                </c:pt>
                <c:pt idx="180">
                  <c:v>45174</c:v>
                </c:pt>
                <c:pt idx="181">
                  <c:v>45188</c:v>
                </c:pt>
                <c:pt idx="182">
                  <c:v>45202</c:v>
                </c:pt>
                <c:pt idx="183">
                  <c:v>45216</c:v>
                </c:pt>
                <c:pt idx="184">
                  <c:v>45230</c:v>
                </c:pt>
                <c:pt idx="185">
                  <c:v>45244</c:v>
                </c:pt>
                <c:pt idx="186">
                  <c:v>45258</c:v>
                </c:pt>
                <c:pt idx="187">
                  <c:v>45273</c:v>
                </c:pt>
                <c:pt idx="188">
                  <c:v>45292</c:v>
                </c:pt>
                <c:pt idx="189">
                  <c:v>45300</c:v>
                </c:pt>
                <c:pt idx="190">
                  <c:v>45314</c:v>
                </c:pt>
                <c:pt idx="191">
                  <c:v>45328</c:v>
                </c:pt>
                <c:pt idx="192">
                  <c:v>45342</c:v>
                </c:pt>
                <c:pt idx="193">
                  <c:v>45356</c:v>
                </c:pt>
                <c:pt idx="194">
                  <c:v>45370</c:v>
                </c:pt>
                <c:pt idx="195">
                  <c:v>45384</c:v>
                </c:pt>
                <c:pt idx="196">
                  <c:v>45396</c:v>
                </c:pt>
                <c:pt idx="197">
                  <c:v>45426</c:v>
                </c:pt>
                <c:pt idx="198">
                  <c:v>45440</c:v>
                </c:pt>
                <c:pt idx="199">
                  <c:v>45454</c:v>
                </c:pt>
                <c:pt idx="200">
                  <c:v>45468</c:v>
                </c:pt>
                <c:pt idx="201">
                  <c:v>45482</c:v>
                </c:pt>
                <c:pt idx="202">
                  <c:v>45496</c:v>
                </c:pt>
                <c:pt idx="203">
                  <c:v>45510</c:v>
                </c:pt>
                <c:pt idx="204">
                  <c:v>45524</c:v>
                </c:pt>
                <c:pt idx="205">
                  <c:v>45552</c:v>
                </c:pt>
                <c:pt idx="206">
                  <c:v>45566</c:v>
                </c:pt>
                <c:pt idx="207">
                  <c:v>45580</c:v>
                </c:pt>
                <c:pt idx="208">
                  <c:v>45594</c:v>
                </c:pt>
                <c:pt idx="209">
                  <c:v>45608</c:v>
                </c:pt>
                <c:pt idx="210">
                  <c:v>45622</c:v>
                </c:pt>
                <c:pt idx="211">
                  <c:v>45636</c:v>
                </c:pt>
                <c:pt idx="212">
                  <c:v>45650</c:v>
                </c:pt>
                <c:pt idx="213">
                  <c:v>45664</c:v>
                </c:pt>
                <c:pt idx="214">
                  <c:v>45678</c:v>
                </c:pt>
                <c:pt idx="215">
                  <c:v>45692</c:v>
                </c:pt>
                <c:pt idx="216">
                  <c:v>45706</c:v>
                </c:pt>
                <c:pt idx="217">
                  <c:v>45720</c:v>
                </c:pt>
                <c:pt idx="218">
                  <c:v>45734</c:v>
                </c:pt>
                <c:pt idx="219">
                  <c:v>45748</c:v>
                </c:pt>
                <c:pt idx="220">
                  <c:v>45762</c:v>
                </c:pt>
                <c:pt idx="221">
                  <c:v>45783</c:v>
                </c:pt>
                <c:pt idx="222">
                  <c:v>45790</c:v>
                </c:pt>
                <c:pt idx="223">
                  <c:v>45804</c:v>
                </c:pt>
                <c:pt idx="224">
                  <c:v>45818</c:v>
                </c:pt>
                <c:pt idx="225">
                  <c:v>45832</c:v>
                </c:pt>
                <c:pt idx="226">
                  <c:v>45846</c:v>
                </c:pt>
                <c:pt idx="227">
                  <c:v>45860</c:v>
                </c:pt>
                <c:pt idx="228">
                  <c:v>45874</c:v>
                </c:pt>
                <c:pt idx="229">
                  <c:v>45888</c:v>
                </c:pt>
                <c:pt idx="230">
                  <c:v>45902</c:v>
                </c:pt>
                <c:pt idx="231">
                  <c:v>45916</c:v>
                </c:pt>
                <c:pt idx="232">
                  <c:v>45930</c:v>
                </c:pt>
                <c:pt idx="233">
                  <c:v>45944</c:v>
                </c:pt>
                <c:pt idx="234">
                  <c:v>45958</c:v>
                </c:pt>
                <c:pt idx="235">
                  <c:v>45986</c:v>
                </c:pt>
                <c:pt idx="236">
                  <c:v>46000</c:v>
                </c:pt>
                <c:pt idx="237">
                  <c:v>46021</c:v>
                </c:pt>
                <c:pt idx="238">
                  <c:v>46028</c:v>
                </c:pt>
                <c:pt idx="239">
                  <c:v>46042</c:v>
                </c:pt>
                <c:pt idx="240">
                  <c:v>46056</c:v>
                </c:pt>
                <c:pt idx="241">
                  <c:v>46070</c:v>
                </c:pt>
                <c:pt idx="242">
                  <c:v>46084</c:v>
                </c:pt>
              </c:numCache>
            </c:numRef>
          </c:cat>
          <c:val>
            <c:numRef>
              <c:f>'Rental supply by price'!$H$9:$H$251</c:f>
              <c:numCache>
                <c:formatCode>#,##0</c:formatCode>
                <c:ptCount val="243"/>
                <c:pt idx="1">
                  <c:v>3739</c:v>
                </c:pt>
                <c:pt idx="2">
                  <c:v>3733</c:v>
                </c:pt>
                <c:pt idx="3">
                  <c:v>3753</c:v>
                </c:pt>
                <c:pt idx="4">
                  <c:v>3781</c:v>
                </c:pt>
                <c:pt idx="5">
                  <c:v>3784</c:v>
                </c:pt>
                <c:pt idx="6">
                  <c:v>3816</c:v>
                </c:pt>
                <c:pt idx="7">
                  <c:v>3811</c:v>
                </c:pt>
                <c:pt idx="8">
                  <c:v>3830</c:v>
                </c:pt>
                <c:pt idx="9">
                  <c:v>3868</c:v>
                </c:pt>
                <c:pt idx="10">
                  <c:v>3871</c:v>
                </c:pt>
                <c:pt idx="11">
                  <c:v>3883</c:v>
                </c:pt>
                <c:pt idx="12">
                  <c:v>3884</c:v>
                </c:pt>
                <c:pt idx="13">
                  <c:v>3921</c:v>
                </c:pt>
                <c:pt idx="14">
                  <c:v>3945</c:v>
                </c:pt>
                <c:pt idx="15">
                  <c:v>3979</c:v>
                </c:pt>
                <c:pt idx="16">
                  <c:v>4037</c:v>
                </c:pt>
                <c:pt idx="17">
                  <c:v>4033</c:v>
                </c:pt>
                <c:pt idx="18">
                  <c:v>4028</c:v>
                </c:pt>
                <c:pt idx="19">
                  <c:v>4080</c:v>
                </c:pt>
                <c:pt idx="20">
                  <c:v>4115</c:v>
                </c:pt>
                <c:pt idx="21">
                  <c:v>4147</c:v>
                </c:pt>
                <c:pt idx="22">
                  <c:v>4190</c:v>
                </c:pt>
                <c:pt idx="23">
                  <c:v>4229</c:v>
                </c:pt>
                <c:pt idx="24">
                  <c:v>4276</c:v>
                </c:pt>
                <c:pt idx="25">
                  <c:v>4322</c:v>
                </c:pt>
                <c:pt idx="26">
                  <c:v>4362</c:v>
                </c:pt>
                <c:pt idx="27">
                  <c:v>4402</c:v>
                </c:pt>
                <c:pt idx="28">
                  <c:v>4440</c:v>
                </c:pt>
                <c:pt idx="29">
                  <c:v>4481</c:v>
                </c:pt>
                <c:pt idx="30">
                  <c:v>4550</c:v>
                </c:pt>
                <c:pt idx="31">
                  <c:v>4598</c:v>
                </c:pt>
                <c:pt idx="32">
                  <c:v>4650</c:v>
                </c:pt>
                <c:pt idx="33" formatCode="General">
                  <c:v>4649</c:v>
                </c:pt>
                <c:pt idx="34" formatCode="General">
                  <c:v>4694</c:v>
                </c:pt>
                <c:pt idx="35">
                  <c:v>4776</c:v>
                </c:pt>
                <c:pt idx="36">
                  <c:v>4832</c:v>
                </c:pt>
                <c:pt idx="37">
                  <c:v>4785</c:v>
                </c:pt>
                <c:pt idx="38">
                  <c:v>4874</c:v>
                </c:pt>
                <c:pt idx="39">
                  <c:v>4921</c:v>
                </c:pt>
                <c:pt idx="40">
                  <c:v>5004</c:v>
                </c:pt>
                <c:pt idx="41">
                  <c:v>5061</c:v>
                </c:pt>
                <c:pt idx="42">
                  <c:v>5159</c:v>
                </c:pt>
                <c:pt idx="43">
                  <c:v>5218</c:v>
                </c:pt>
                <c:pt idx="44">
                  <c:v>5280</c:v>
                </c:pt>
                <c:pt idx="45">
                  <c:v>5327</c:v>
                </c:pt>
                <c:pt idx="46">
                  <c:v>5347</c:v>
                </c:pt>
                <c:pt idx="47">
                  <c:v>5442</c:v>
                </c:pt>
                <c:pt idx="48">
                  <c:v>5539</c:v>
                </c:pt>
                <c:pt idx="49">
                  <c:v>5707</c:v>
                </c:pt>
                <c:pt idx="50">
                  <c:v>5744</c:v>
                </c:pt>
                <c:pt idx="51">
                  <c:v>5779</c:v>
                </c:pt>
                <c:pt idx="52">
                  <c:v>5871</c:v>
                </c:pt>
                <c:pt idx="53">
                  <c:v>6085</c:v>
                </c:pt>
                <c:pt idx="54">
                  <c:v>5970</c:v>
                </c:pt>
                <c:pt idx="55">
                  <c:v>6036</c:v>
                </c:pt>
                <c:pt idx="56">
                  <c:v>6086</c:v>
                </c:pt>
                <c:pt idx="57">
                  <c:v>6117</c:v>
                </c:pt>
                <c:pt idx="58">
                  <c:v>6194</c:v>
                </c:pt>
                <c:pt idx="59">
                  <c:v>6253</c:v>
                </c:pt>
                <c:pt idx="60">
                  <c:v>6251</c:v>
                </c:pt>
                <c:pt idx="61">
                  <c:v>6254</c:v>
                </c:pt>
                <c:pt idx="62">
                  <c:v>6280</c:v>
                </c:pt>
                <c:pt idx="63">
                  <c:v>6354</c:v>
                </c:pt>
                <c:pt idx="64">
                  <c:v>6428</c:v>
                </c:pt>
                <c:pt idx="65">
                  <c:v>6452</c:v>
                </c:pt>
                <c:pt idx="66">
                  <c:v>6494</c:v>
                </c:pt>
                <c:pt idx="67">
                  <c:v>6529</c:v>
                </c:pt>
                <c:pt idx="68">
                  <c:v>6568</c:v>
                </c:pt>
                <c:pt idx="69">
                  <c:v>6576</c:v>
                </c:pt>
                <c:pt idx="70">
                  <c:v>6599</c:v>
                </c:pt>
                <c:pt idx="71">
                  <c:v>6655</c:v>
                </c:pt>
                <c:pt idx="72">
                  <c:v>6702</c:v>
                </c:pt>
                <c:pt idx="73">
                  <c:v>6879</c:v>
                </c:pt>
                <c:pt idx="74">
                  <c:v>6962</c:v>
                </c:pt>
                <c:pt idx="75">
                  <c:v>6841</c:v>
                </c:pt>
                <c:pt idx="76">
                  <c:v>6856</c:v>
                </c:pt>
                <c:pt idx="77">
                  <c:v>6871</c:v>
                </c:pt>
                <c:pt idx="78">
                  <c:v>6866</c:v>
                </c:pt>
                <c:pt idx="79">
                  <c:v>6872</c:v>
                </c:pt>
                <c:pt idx="80">
                  <c:v>6913</c:v>
                </c:pt>
                <c:pt idx="81">
                  <c:v>6932</c:v>
                </c:pt>
                <c:pt idx="82">
                  <c:v>6970</c:v>
                </c:pt>
                <c:pt idx="83">
                  <c:v>6936</c:v>
                </c:pt>
                <c:pt idx="84">
                  <c:v>6955</c:v>
                </c:pt>
                <c:pt idx="85">
                  <c:v>6963</c:v>
                </c:pt>
                <c:pt idx="86">
                  <c:v>6975</c:v>
                </c:pt>
                <c:pt idx="87">
                  <c:v>6985</c:v>
                </c:pt>
                <c:pt idx="88">
                  <c:v>6921</c:v>
                </c:pt>
                <c:pt idx="89">
                  <c:v>6959</c:v>
                </c:pt>
                <c:pt idx="90">
                  <c:v>6939</c:v>
                </c:pt>
                <c:pt idx="91">
                  <c:v>6977</c:v>
                </c:pt>
                <c:pt idx="92">
                  <c:v>6990</c:v>
                </c:pt>
                <c:pt idx="93">
                  <c:v>6981</c:v>
                </c:pt>
                <c:pt idx="94">
                  <c:v>6966</c:v>
                </c:pt>
                <c:pt idx="95">
                  <c:v>6968</c:v>
                </c:pt>
                <c:pt idx="96">
                  <c:v>7013</c:v>
                </c:pt>
                <c:pt idx="97">
                  <c:v>7042</c:v>
                </c:pt>
                <c:pt idx="98">
                  <c:v>6989</c:v>
                </c:pt>
                <c:pt idx="99">
                  <c:v>7011</c:v>
                </c:pt>
                <c:pt idx="100">
                  <c:v>7002</c:v>
                </c:pt>
                <c:pt idx="101">
                  <c:v>6961</c:v>
                </c:pt>
                <c:pt idx="102">
                  <c:v>6908</c:v>
                </c:pt>
                <c:pt idx="103">
                  <c:v>6912</c:v>
                </c:pt>
                <c:pt idx="104">
                  <c:v>6672</c:v>
                </c:pt>
                <c:pt idx="105">
                  <c:v>6629</c:v>
                </c:pt>
                <c:pt idx="106">
                  <c:v>6683</c:v>
                </c:pt>
                <c:pt idx="107">
                  <c:v>6808</c:v>
                </c:pt>
                <c:pt idx="108">
                  <c:v>6817</c:v>
                </c:pt>
                <c:pt idx="109">
                  <c:v>6932</c:v>
                </c:pt>
                <c:pt idx="110">
                  <c:v>6641</c:v>
                </c:pt>
                <c:pt idx="111">
                  <c:v>6591</c:v>
                </c:pt>
                <c:pt idx="112">
                  <c:v>6303</c:v>
                </c:pt>
                <c:pt idx="113">
                  <c:v>6385</c:v>
                </c:pt>
                <c:pt idx="114">
                  <c:v>6610</c:v>
                </c:pt>
                <c:pt idx="115">
                  <c:v>6539</c:v>
                </c:pt>
                <c:pt idx="116">
                  <c:v>6389</c:v>
                </c:pt>
                <c:pt idx="117" formatCode="General">
                  <c:v>6216</c:v>
                </c:pt>
                <c:pt idx="118" formatCode="General">
                  <c:v>6119</c:v>
                </c:pt>
                <c:pt idx="119" formatCode="General">
                  <c:v>5979</c:v>
                </c:pt>
                <c:pt idx="120" formatCode="General">
                  <c:v>5857</c:v>
                </c:pt>
                <c:pt idx="121" formatCode="General">
                  <c:v>5707</c:v>
                </c:pt>
                <c:pt idx="122" formatCode="General">
                  <c:v>5647</c:v>
                </c:pt>
                <c:pt idx="123" formatCode="General">
                  <c:v>5438</c:v>
                </c:pt>
                <c:pt idx="124" formatCode="General">
                  <c:v>5552</c:v>
                </c:pt>
                <c:pt idx="125" formatCode="General">
                  <c:v>5194</c:v>
                </c:pt>
                <c:pt idx="126" formatCode="General">
                  <c:v>4388</c:v>
                </c:pt>
                <c:pt idx="127" formatCode="General">
                  <c:v>3756</c:v>
                </c:pt>
                <c:pt idx="128" formatCode="General">
                  <c:v>3174</c:v>
                </c:pt>
                <c:pt idx="129" formatCode="General">
                  <c:v>2714</c:v>
                </c:pt>
                <c:pt idx="130" formatCode="General">
                  <c:v>2515</c:v>
                </c:pt>
                <c:pt idx="131" formatCode="General">
                  <c:v>2413</c:v>
                </c:pt>
                <c:pt idx="132" formatCode="General">
                  <c:v>2159</c:v>
                </c:pt>
                <c:pt idx="133" formatCode="General">
                  <c:v>2057</c:v>
                </c:pt>
                <c:pt idx="134" formatCode="General">
                  <c:v>2040</c:v>
                </c:pt>
                <c:pt idx="135" formatCode="General">
                  <c:v>2100</c:v>
                </c:pt>
                <c:pt idx="136" formatCode="General">
                  <c:v>2009</c:v>
                </c:pt>
                <c:pt idx="137" formatCode="General">
                  <c:v>2025</c:v>
                </c:pt>
                <c:pt idx="138" formatCode="General">
                  <c:v>1952</c:v>
                </c:pt>
                <c:pt idx="139" formatCode="General">
                  <c:v>1828</c:v>
                </c:pt>
                <c:pt idx="140" formatCode="General">
                  <c:v>1793</c:v>
                </c:pt>
                <c:pt idx="141" formatCode="General">
                  <c:v>1742</c:v>
                </c:pt>
                <c:pt idx="142" formatCode="General">
                  <c:v>1663</c:v>
                </c:pt>
                <c:pt idx="143" formatCode="General">
                  <c:v>1577</c:v>
                </c:pt>
                <c:pt idx="144" formatCode="General">
                  <c:v>1636</c:v>
                </c:pt>
                <c:pt idx="145" formatCode="General">
                  <c:v>1657</c:v>
                </c:pt>
                <c:pt idx="146" formatCode="General">
                  <c:v>1513</c:v>
                </c:pt>
                <c:pt idx="147" formatCode="General">
                  <c:v>1598</c:v>
                </c:pt>
                <c:pt idx="148" formatCode="General">
                  <c:v>1601</c:v>
                </c:pt>
                <c:pt idx="149" formatCode="General">
                  <c:v>1573</c:v>
                </c:pt>
                <c:pt idx="150" formatCode="General">
                  <c:v>1553</c:v>
                </c:pt>
                <c:pt idx="151" formatCode="General">
                  <c:v>1441</c:v>
                </c:pt>
                <c:pt idx="152" formatCode="General">
                  <c:v>1295</c:v>
                </c:pt>
                <c:pt idx="153" formatCode="General">
                  <c:v>1073</c:v>
                </c:pt>
                <c:pt idx="154" formatCode="General">
                  <c:v>981</c:v>
                </c:pt>
                <c:pt idx="155" formatCode="General">
                  <c:v>895</c:v>
                </c:pt>
                <c:pt idx="156" formatCode="General">
                  <c:v>854</c:v>
                </c:pt>
                <c:pt idx="157" formatCode="General">
                  <c:v>893</c:v>
                </c:pt>
                <c:pt idx="158" formatCode="General">
                  <c:v>884</c:v>
                </c:pt>
                <c:pt idx="159" formatCode="General">
                  <c:v>972</c:v>
                </c:pt>
                <c:pt idx="160" formatCode="General">
                  <c:v>1087</c:v>
                </c:pt>
                <c:pt idx="161" formatCode="General">
                  <c:v>1129</c:v>
                </c:pt>
                <c:pt idx="162" formatCode="General">
                  <c:v>1029</c:v>
                </c:pt>
                <c:pt idx="163" formatCode="General">
                  <c:v>1126</c:v>
                </c:pt>
                <c:pt idx="164" formatCode="General">
                  <c:v>1093</c:v>
                </c:pt>
                <c:pt idx="165" formatCode="General">
                  <c:v>1045</c:v>
                </c:pt>
                <c:pt idx="166" formatCode="General">
                  <c:v>993</c:v>
                </c:pt>
                <c:pt idx="167" formatCode="General">
                  <c:v>989</c:v>
                </c:pt>
                <c:pt idx="168" formatCode="General">
                  <c:v>957</c:v>
                </c:pt>
                <c:pt idx="169" formatCode="General">
                  <c:v>950</c:v>
                </c:pt>
                <c:pt idx="170" formatCode="General">
                  <c:v>979</c:v>
                </c:pt>
                <c:pt idx="171" formatCode="General">
                  <c:v>1031</c:v>
                </c:pt>
                <c:pt idx="172" formatCode="General">
                  <c:v>1031</c:v>
                </c:pt>
                <c:pt idx="173" formatCode="General">
                  <c:v>987</c:v>
                </c:pt>
                <c:pt idx="174" formatCode="General">
                  <c:v>1069</c:v>
                </c:pt>
                <c:pt idx="175" formatCode="General">
                  <c:v>1078</c:v>
                </c:pt>
                <c:pt idx="176" formatCode="General">
                  <c:v>1048</c:v>
                </c:pt>
                <c:pt idx="177" formatCode="General">
                  <c:v>1072</c:v>
                </c:pt>
                <c:pt idx="178" formatCode="General">
                  <c:v>1049</c:v>
                </c:pt>
                <c:pt idx="179" formatCode="General">
                  <c:v>1066</c:v>
                </c:pt>
                <c:pt idx="180" formatCode="General">
                  <c:v>1048</c:v>
                </c:pt>
                <c:pt idx="181" formatCode="General">
                  <c:v>1017</c:v>
                </c:pt>
                <c:pt idx="182" formatCode="General">
                  <c:v>1042</c:v>
                </c:pt>
                <c:pt idx="183" formatCode="General">
                  <c:v>1145</c:v>
                </c:pt>
                <c:pt idx="184" formatCode="General">
                  <c:v>1202</c:v>
                </c:pt>
                <c:pt idx="185" formatCode="General">
                  <c:v>1289</c:v>
                </c:pt>
                <c:pt idx="186" formatCode="General">
                  <c:v>1245</c:v>
                </c:pt>
                <c:pt idx="187" formatCode="General">
                  <c:v>1289</c:v>
                </c:pt>
                <c:pt idx="188" formatCode="General">
                  <c:v>1162</c:v>
                </c:pt>
                <c:pt idx="189" formatCode="General">
                  <c:v>1215</c:v>
                </c:pt>
                <c:pt idx="190" formatCode="General">
                  <c:v>1300</c:v>
                </c:pt>
                <c:pt idx="191" formatCode="General">
                  <c:v>1285</c:v>
                </c:pt>
                <c:pt idx="192" formatCode="General">
                  <c:v>1282</c:v>
                </c:pt>
                <c:pt idx="193" formatCode="General">
                  <c:v>1310</c:v>
                </c:pt>
                <c:pt idx="194" formatCode="General">
                  <c:v>1300</c:v>
                </c:pt>
                <c:pt idx="195" formatCode="General">
                  <c:v>1235</c:v>
                </c:pt>
                <c:pt idx="196" formatCode="General">
                  <c:v>1204</c:v>
                </c:pt>
                <c:pt idx="197" formatCode="General">
                  <c:v>1236</c:v>
                </c:pt>
                <c:pt idx="198" formatCode="General">
                  <c:v>1296</c:v>
                </c:pt>
                <c:pt idx="199" formatCode="General">
                  <c:v>1271</c:v>
                </c:pt>
                <c:pt idx="200" formatCode="General">
                  <c:v>1243</c:v>
                </c:pt>
                <c:pt idx="201" formatCode="General">
                  <c:v>1221</c:v>
                </c:pt>
                <c:pt idx="202" formatCode="General">
                  <c:v>1365</c:v>
                </c:pt>
                <c:pt idx="203" formatCode="General">
                  <c:v>1359</c:v>
                </c:pt>
                <c:pt idx="204" formatCode="General">
                  <c:v>1388</c:v>
                </c:pt>
                <c:pt idx="205" formatCode="General">
                  <c:v>1363</c:v>
                </c:pt>
                <c:pt idx="206" formatCode="General">
                  <c:v>1357</c:v>
                </c:pt>
                <c:pt idx="207" formatCode="General">
                  <c:v>1346</c:v>
                </c:pt>
                <c:pt idx="208" formatCode="General">
                  <c:v>1332</c:v>
                </c:pt>
                <c:pt idx="209" formatCode="General">
                  <c:v>1419</c:v>
                </c:pt>
                <c:pt idx="210" formatCode="General">
                  <c:v>1534</c:v>
                </c:pt>
                <c:pt idx="211" formatCode="General">
                  <c:v>1532</c:v>
                </c:pt>
                <c:pt idx="212" formatCode="General">
                  <c:v>1403</c:v>
                </c:pt>
                <c:pt idx="213" formatCode="General">
                  <c:v>1440</c:v>
                </c:pt>
                <c:pt idx="214" formatCode="General">
                  <c:v>1470</c:v>
                </c:pt>
                <c:pt idx="215" formatCode="General">
                  <c:v>1407</c:v>
                </c:pt>
                <c:pt idx="216" formatCode="General">
                  <c:v>1421</c:v>
                </c:pt>
                <c:pt idx="217" formatCode="General">
                  <c:v>1449</c:v>
                </c:pt>
                <c:pt idx="218" formatCode="General">
                  <c:v>1528</c:v>
                </c:pt>
                <c:pt idx="219" formatCode="General">
                  <c:v>1583</c:v>
                </c:pt>
                <c:pt idx="220" formatCode="General">
                  <c:v>1612</c:v>
                </c:pt>
                <c:pt idx="221" formatCode="General">
                  <c:v>1660</c:v>
                </c:pt>
                <c:pt idx="222" formatCode="General">
                  <c:v>1702</c:v>
                </c:pt>
                <c:pt idx="223" formatCode="General">
                  <c:v>1667</c:v>
                </c:pt>
                <c:pt idx="224" formatCode="General">
                  <c:v>1652</c:v>
                </c:pt>
                <c:pt idx="225" formatCode="General">
                  <c:v>1668</c:v>
                </c:pt>
                <c:pt idx="226" formatCode="General">
                  <c:v>1676</c:v>
                </c:pt>
                <c:pt idx="227" formatCode="General">
                  <c:v>1708</c:v>
                </c:pt>
                <c:pt idx="228" formatCode="General">
                  <c:v>1679</c:v>
                </c:pt>
                <c:pt idx="229" formatCode="General">
                  <c:v>1658</c:v>
                </c:pt>
                <c:pt idx="230" formatCode="General">
                  <c:v>1658</c:v>
                </c:pt>
                <c:pt idx="231" formatCode="General">
                  <c:v>1754</c:v>
                </c:pt>
                <c:pt idx="232" formatCode="General">
                  <c:v>1811</c:v>
                </c:pt>
                <c:pt idx="233" formatCode="General">
                  <c:v>1890</c:v>
                </c:pt>
                <c:pt idx="234" formatCode="General">
                  <c:v>1923</c:v>
                </c:pt>
                <c:pt idx="235" formatCode="General">
                  <c:v>2009</c:v>
                </c:pt>
                <c:pt idx="236" formatCode="General">
                  <c:v>2069</c:v>
                </c:pt>
                <c:pt idx="237" formatCode="General">
                  <c:v>1943</c:v>
                </c:pt>
                <c:pt idx="238" formatCode="General">
                  <c:v>1965</c:v>
                </c:pt>
                <c:pt idx="239" formatCode="General">
                  <c:v>1945</c:v>
                </c:pt>
                <c:pt idx="240" formatCode="General">
                  <c:v>1803</c:v>
                </c:pt>
                <c:pt idx="241" formatCode="General">
                  <c:v>1610</c:v>
                </c:pt>
                <c:pt idx="242" formatCode="General">
                  <c:v>1581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695-42D2-B1F9-64EA60990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117624"/>
        <c:axId val="1683115104"/>
      </c:lineChart>
      <c:dateAx>
        <c:axId val="1683117624"/>
        <c:scaling>
          <c:orientation val="minMax"/>
        </c:scaling>
        <c:delete val="0"/>
        <c:axPos val="b"/>
        <c:numFmt formatCode="mm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Foundry Form Sans" panose="02000503050000020004" pitchFamily="2" charset="0"/>
                <a:ea typeface="+mn-ea"/>
                <a:cs typeface="+mn-cs"/>
              </a:defRPr>
            </a:pPr>
            <a:endParaRPr lang="en-US"/>
          </a:p>
        </c:txPr>
        <c:crossAx val="1683115104"/>
        <c:crosses val="autoZero"/>
        <c:auto val="1"/>
        <c:lblOffset val="100"/>
        <c:baseTimeUnit val="days"/>
        <c:minorUnit val="1"/>
      </c:dateAx>
      <c:valAx>
        <c:axId val="16831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7E6E6"/>
              </a:solidFill>
              <a:round/>
            </a:ln>
            <a:effectLst/>
          </c:spPr>
        </c:majorGridlines>
        <c:numFmt formatCode="&quot;£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Foundry Form Sans" panose="02000503050000020004" pitchFamily="2" charset="0"/>
                <a:ea typeface="+mn-ea"/>
                <a:cs typeface="+mn-cs"/>
              </a:defRPr>
            </a:pPr>
            <a:endParaRPr lang="en-US"/>
          </a:p>
        </c:txPr>
        <c:crossAx val="1683117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Foundry Form Sans" panose="0200050305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56655</xdr:colOff>
      <xdr:row>1</xdr:row>
      <xdr:rowOff>183841</xdr:rowOff>
    </xdr:from>
    <xdr:to>
      <xdr:col>15</xdr:col>
      <xdr:colOff>578304</xdr:colOff>
      <xdr:row>26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A2D8BA-9EF8-4B30-16E7-9E4B879AF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0.76177</cdr:x>
      <cdr:y>0.29859</cdr:y>
    </cdr:from>
    <cdr:to>
      <cdr:x>0.90586</cdr:x>
      <cdr:y>0.40563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681477F-FB6C-49B8-AFAA-349C1EB43326}"/>
            </a:ext>
          </a:extLst>
        </cdr:cNvPr>
        <cdr:cNvSpPr txBox="1"/>
      </cdr:nvSpPr>
      <cdr:spPr>
        <a:xfrm xmlns:a="http://schemas.openxmlformats.org/drawingml/2006/main">
          <a:off x="3776664" y="1009651"/>
          <a:ext cx="714375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0.81918</cdr:x>
      <cdr:y>0.20053</cdr:y>
    </cdr:from>
    <cdr:to>
      <cdr:x>0.98398</cdr:x>
      <cdr:y>0.27982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FC3CDF4-2A40-782F-C711-8C0D5FB2ED3D}"/>
            </a:ext>
          </a:extLst>
        </cdr:cNvPr>
        <cdr:cNvSpPr txBox="1"/>
      </cdr:nvSpPr>
      <cdr:spPr>
        <a:xfrm xmlns:a="http://schemas.openxmlformats.org/drawingml/2006/main">
          <a:off x="4188720" y="758551"/>
          <a:ext cx="842678" cy="2999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200">
              <a:solidFill>
                <a:srgbClr val="4477AA"/>
              </a:solidFill>
              <a:latin typeface="Foundry Form Sans" panose="02000503050000020004" pitchFamily="2" charset="0"/>
            </a:rPr>
            <a:t>owners</a:t>
          </a:r>
        </a:p>
      </cdr:txBody>
    </cdr:sp>
  </cdr:relSizeAnchor>
  <cdr:relSizeAnchor xmlns:cdr="http://schemas.openxmlformats.org/drawingml/2006/chartDrawing">
    <cdr:from>
      <cdr:x>0.77143</cdr:x>
      <cdr:y>0.65218</cdr:y>
    </cdr:from>
    <cdr:to>
      <cdr:x>1</cdr:x>
      <cdr:y>0.74023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DA60AA2-AD2C-4508-8BF6-18A186A3FB5F}"/>
            </a:ext>
          </a:extLst>
        </cdr:cNvPr>
        <cdr:cNvSpPr txBox="1"/>
      </cdr:nvSpPr>
      <cdr:spPr>
        <a:xfrm xmlns:a="http://schemas.openxmlformats.org/drawingml/2006/main">
          <a:off x="3944594" y="2467018"/>
          <a:ext cx="1168744" cy="3330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200">
              <a:solidFill>
                <a:srgbClr val="CC6677"/>
              </a:solidFill>
              <a:latin typeface="Foundry Form Sans" panose="02000503050000020004" pitchFamily="2" charset="0"/>
            </a:rPr>
            <a:t>social sector</a:t>
          </a:r>
          <a:endParaRPr lang="en-GB" sz="1100">
            <a:solidFill>
              <a:srgbClr val="CC6677"/>
            </a:solidFill>
            <a:latin typeface="Foundry Form Sans" panose="02000503050000020004" pitchFamily="2" charset="0"/>
          </a:endParaRPr>
        </a:p>
      </cdr:txBody>
    </cdr:sp>
  </cdr:relSizeAnchor>
  <cdr:relSizeAnchor xmlns:cdr="http://schemas.openxmlformats.org/drawingml/2006/chartDrawing">
    <cdr:from>
      <cdr:x>0.76697</cdr:x>
      <cdr:y>0.41036</cdr:y>
    </cdr:from>
    <cdr:to>
      <cdr:x>1</cdr:x>
      <cdr:y>0.49759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E944E01B-369B-A874-C498-2F9F844BC5FF}"/>
            </a:ext>
          </a:extLst>
        </cdr:cNvPr>
        <cdr:cNvSpPr txBox="1"/>
      </cdr:nvSpPr>
      <cdr:spPr>
        <a:xfrm xmlns:a="http://schemas.openxmlformats.org/drawingml/2006/main">
          <a:off x="5431265" y="2300296"/>
          <a:ext cx="1650168" cy="4890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200">
              <a:solidFill>
                <a:srgbClr val="DDCC77"/>
              </a:solidFill>
              <a:latin typeface="Foundry Form Sans" panose="02000503050000020004" pitchFamily="2" charset="0"/>
            </a:rPr>
            <a:t>private renters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814102</xdr:colOff>
      <xdr:row>2</xdr:row>
      <xdr:rowOff>98222</xdr:rowOff>
    </xdr:from>
    <xdr:to>
      <xdr:col>19</xdr:col>
      <xdr:colOff>312584</xdr:colOff>
      <xdr:row>20</xdr:row>
      <xdr:rowOff>179103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4F3B05-4382-7501-C713-383F80DC9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645583</xdr:colOff>
      <xdr:row>1</xdr:row>
      <xdr:rowOff>189443</xdr:rowOff>
    </xdr:from>
    <xdr:to>
      <xdr:col>13</xdr:col>
      <xdr:colOff>349250</xdr:colOff>
      <xdr:row>20</xdr:row>
      <xdr:rowOff>100541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A307B6-0692-4440-5AF6-3FC6017D7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144315</xdr:colOff>
      <xdr:row>6</xdr:row>
      <xdr:rowOff>177606</xdr:rowOff>
    </xdr:from>
    <xdr:to>
      <xdr:col>32</xdr:col>
      <xdr:colOff>248227</xdr:colOff>
      <xdr:row>210</xdr:row>
      <xdr:rowOff>42526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826EF7-6ED5-A47E-4660-9C7F1DF56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462642</xdr:colOff>
      <xdr:row>45</xdr:row>
      <xdr:rowOff>193221</xdr:rowOff>
    </xdr:from>
    <xdr:to>
      <xdr:col>20</xdr:col>
      <xdr:colOff>61058</xdr:colOff>
      <xdr:row>72</xdr:row>
      <xdr:rowOff>13607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6803A4-9561-ECF3-1065-E52707AAA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279627</xdr:colOff>
      <xdr:row>3</xdr:row>
      <xdr:rowOff>49099</xdr:rowOff>
    </xdr:from>
    <xdr:to>
      <xdr:col>18</xdr:col>
      <xdr:colOff>378279</xdr:colOff>
      <xdr:row>31</xdr:row>
      <xdr:rowOff>25854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E95DDE-2037-4EB6-6B75-C8B3469C4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0.76177</cdr:x>
      <cdr:y>0.29859</cdr:y>
    </cdr:from>
    <cdr:to>
      <cdr:x>0.90586</cdr:x>
      <cdr:y>0.40563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681477F-FB6C-49B8-AFAA-349C1EB43326}"/>
            </a:ext>
          </a:extLst>
        </cdr:cNvPr>
        <cdr:cNvSpPr txBox="1"/>
      </cdr:nvSpPr>
      <cdr:spPr>
        <a:xfrm xmlns:a="http://schemas.openxmlformats.org/drawingml/2006/main">
          <a:off x="3776664" y="1009651"/>
          <a:ext cx="714375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604818</xdr:colOff>
      <xdr:row>9</xdr:row>
      <xdr:rowOff>75170</xdr:rowOff>
    </xdr:from>
    <xdr:to>
      <xdr:col>22</xdr:col>
      <xdr:colOff>293076</xdr:colOff>
      <xdr:row>41</xdr:row>
      <xdr:rowOff>167472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E4EDE0-C3A6-AF28-E911-7298180E7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0.76177</cdr:x>
      <cdr:y>0.29859</cdr:y>
    </cdr:from>
    <cdr:to>
      <cdr:x>0.90586</cdr:x>
      <cdr:y>0.40563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681477F-FB6C-49B8-AFAA-349C1EB43326}"/>
            </a:ext>
          </a:extLst>
        </cdr:cNvPr>
        <cdr:cNvSpPr txBox="1"/>
      </cdr:nvSpPr>
      <cdr:spPr>
        <a:xfrm xmlns:a="http://schemas.openxmlformats.org/drawingml/2006/main">
          <a:off x="3776664" y="1009651"/>
          <a:ext cx="714375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267131</xdr:colOff>
      <xdr:row>5</xdr:row>
      <xdr:rowOff>128587</xdr:rowOff>
    </xdr:from>
    <xdr:to>
      <xdr:col>19</xdr:col>
      <xdr:colOff>69272</xdr:colOff>
      <xdr:row>36</xdr:row>
      <xdr:rowOff>82405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56863D-FBED-81EF-88F2-4DC17BE62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0.76177</cdr:x>
      <cdr:y>0.29859</cdr:y>
    </cdr:from>
    <cdr:to>
      <cdr:x>0.90586</cdr:x>
      <cdr:y>0.40563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681477F-FB6C-49B8-AFAA-349C1EB43326}"/>
            </a:ext>
          </a:extLst>
        </cdr:cNvPr>
        <cdr:cNvSpPr txBox="1"/>
      </cdr:nvSpPr>
      <cdr:spPr>
        <a:xfrm xmlns:a="http://schemas.openxmlformats.org/drawingml/2006/main">
          <a:off x="3776664" y="1009651"/>
          <a:ext cx="714375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2342165</xdr:colOff>
      <xdr:row>17</xdr:row>
      <xdr:rowOff>92791</xdr:rowOff>
    </xdr:from>
    <xdr:to>
      <xdr:col>19</xdr:col>
      <xdr:colOff>497693</xdr:colOff>
      <xdr:row>46</xdr:row>
      <xdr:rowOff>86441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16734D-4976-0F4F-BB79-54FB59A96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2342165</xdr:colOff>
      <xdr:row>17</xdr:row>
      <xdr:rowOff>92791</xdr:rowOff>
    </xdr:from>
    <xdr:to>
      <xdr:col>19</xdr:col>
      <xdr:colOff>497693</xdr:colOff>
      <xdr:row>46</xdr:row>
      <xdr:rowOff>86441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03F22A-A636-3747-BEC2-72D3F73D1D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7</xdr:row>
      <xdr:rowOff>189769</xdr:rowOff>
    </xdr:from>
    <xdr:to>
      <xdr:col>19</xdr:col>
      <xdr:colOff>240862</xdr:colOff>
      <xdr:row>35</xdr:row>
      <xdr:rowOff>43793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3C6875-8FAF-45FA-A226-4F3B348A5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0.76177</cdr:x>
      <cdr:y>0.29859</cdr:y>
    </cdr:from>
    <cdr:to>
      <cdr:x>0.90586</cdr:x>
      <cdr:y>0.40563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681477F-FB6C-49B8-AFAA-349C1EB43326}"/>
            </a:ext>
          </a:extLst>
        </cdr:cNvPr>
        <cdr:cNvSpPr txBox="1"/>
      </cdr:nvSpPr>
      <cdr:spPr>
        <a:xfrm xmlns:a="http://schemas.openxmlformats.org/drawingml/2006/main">
          <a:off x="3776664" y="1009651"/>
          <a:ext cx="714375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383112</xdr:colOff>
      <xdr:row>2</xdr:row>
      <xdr:rowOff>152400</xdr:rowOff>
    </xdr:from>
    <xdr:to>
      <xdr:col>19</xdr:col>
      <xdr:colOff>507999</xdr:colOff>
      <xdr:row>26</xdr:row>
      <xdr:rowOff>161040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C6E965-7954-7563-8A8A-48C8D4090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0.76177</cdr:x>
      <cdr:y>0.29859</cdr:y>
    </cdr:from>
    <cdr:to>
      <cdr:x>0.90586</cdr:x>
      <cdr:y>0.40563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681477F-FB6C-49B8-AFAA-349C1EB43326}"/>
            </a:ext>
          </a:extLst>
        </cdr:cNvPr>
        <cdr:cNvSpPr txBox="1"/>
      </cdr:nvSpPr>
      <cdr:spPr>
        <a:xfrm xmlns:a="http://schemas.openxmlformats.org/drawingml/2006/main">
          <a:off x="3776664" y="1009651"/>
          <a:ext cx="714375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James Gleeson" id="{4ABB4FCC-69FA-4B3D-BFA8-30E374D1550E}" userId="S::James.Gleeson@london.gov.uk::28e6ad09-ac97-4c65-a1b3-d705d26c0c46" providerId="AD"/>
  <person displayName="Phoebe Fraser" id="{FBF1F4D0-47C5-419E-9169-796B0B8FFF03}" userId="S::Phoebe.Fraser@london.gov.uk::a37e457a-8aba-49e8-8f56-2d87d36caf5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611FB1-BF03-40DE-8677-6AFFD2215778}" name="Table4" displayName="Table4" ref="B8:G265" totalsRowShown="0" headerRowDxfId="20" dataDxfId="18" headerRowBorderDxfId="19" tableBorderDxfId="17">
  <autoFilter ref="B8:G265" xr:uid="{FE611FB1-BF03-40DE-8677-6AFFD2215778}"/>
  <tableColumns count="6">
    <tableColumn id="1" xr3:uid="{D29918B2-C26E-43FA-AB04-73DE539150C7}" name="Date" dataDxfId="16"/>
    <tableColumn id="2" xr3:uid="{76D3416A-F3E3-4B7B-B460-3DD309F13C94}" name="Day of week" dataDxfId="15">
      <calculatedColumnFormula>WEEKDAY(B9,2)</calculatedColumnFormula>
    </tableColumn>
    <tableColumn id="3" xr3:uid="{B5245C28-6BC8-40BB-8623-C7176F42B155}" name="24 hours" dataDxfId="14"/>
    <tableColumn id="4" xr3:uid="{1D667CD3-7DC1-4130-BD59-4A0CEF9434E5}" name="7 days" dataDxfId="13"/>
    <tableColumn id="5" xr3:uid="{669AC3E7-8FD6-404D-BB20-54199058DDE4}" name="14 days" dataDxfId="12"/>
    <tableColumn id="6" xr3:uid="{3A83037B-DEDE-49BE-830D-91A2CDA3A379}" name="Any time" dataDxfId="1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0278BD-49F9-4DA5-BED6-247012425F4A}" name="Table1" displayName="Table1" ref="B8:H251" totalsRowShown="0" headerRowDxfId="10" dataDxfId="8" headerRowBorderDxfId="9" tableBorderDxfId="7">
  <autoFilter ref="B8:H251" xr:uid="{D50278BD-49F9-4DA5-BED6-247012425F4A}"/>
  <tableColumns count="7">
    <tableColumn id="1" xr3:uid="{711B45E5-7C2A-4250-935F-A6F18BF9DB19}" name="Max pcm" dataDxfId="6"/>
    <tableColumn id="2" xr3:uid="{8A113E0C-8EDE-4883-8A63-ED70853E2CC9}" name="£1,000" dataDxfId="5"/>
    <tableColumn id="3" xr3:uid="{F180209A-CB99-4373-BE9B-F3E1C0DBED4F}" name="£1,500" dataDxfId="4"/>
    <tableColumn id="4" xr3:uid="{6371CFC6-7285-4E36-835E-D06AF80616AF}" name="£1,5002" dataDxfId="3"/>
    <tableColumn id="5" xr3:uid="{4EB8D829-E632-4F81-9044-449F08C8A5D3}" name="£1,750" dataDxfId="2"/>
    <tableColumn id="6" xr3:uid="{00D0EB98-DE2B-4994-B77A-C9EDD05B8221}" name="£1,7503" dataDxfId="1"/>
    <tableColumn id="7" xr3:uid="{8F3F7EAC-0215-4CBD-B74B-84B4DA120C6C}" name="£2,500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7AA"/>
      </a:accent1>
      <a:accent2>
        <a:srgbClr val="CC6677"/>
      </a:accent2>
      <a:accent3>
        <a:srgbClr val="DDCC77"/>
      </a:accent3>
      <a:accent4>
        <a:srgbClr val="117733"/>
      </a:accent4>
      <a:accent5>
        <a:srgbClr val="8EC8E7"/>
      </a:accent5>
      <a:accent6>
        <a:srgbClr val="AA4499"/>
      </a:accent6>
      <a:hlink>
        <a:srgbClr val="0563C1"/>
      </a:hlink>
      <a:folHlink>
        <a:srgbClr val="954F72"/>
      </a:folHlink>
    </a:clrScheme>
    <a:fontScheme name="Housing in London">
      <a:majorFont>
        <a:latin typeface="Foundry Form Sans"/>
        <a:ea typeface=""/>
        <a:cs typeface=""/>
      </a:majorFont>
      <a:minorFont>
        <a:latin typeface="Foundry Form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Custom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7AA"/>
    </a:accent1>
    <a:accent2>
      <a:srgbClr val="CC6677"/>
    </a:accent2>
    <a:accent3>
      <a:srgbClr val="DDCC77"/>
    </a:accent3>
    <a:accent4>
      <a:srgbClr val="117733"/>
    </a:accent4>
    <a:accent5>
      <a:srgbClr val="8EC8E7"/>
    </a:accent5>
    <a:accent6>
      <a:srgbClr val="AA4499"/>
    </a:accent6>
    <a:hlink>
      <a:srgbClr val="0563C1"/>
    </a:hlink>
    <a:folHlink>
      <a:srgbClr val="954F72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Custom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7AA"/>
    </a:accent1>
    <a:accent2>
      <a:srgbClr val="CC6677"/>
    </a:accent2>
    <a:accent3>
      <a:srgbClr val="DDCC77"/>
    </a:accent3>
    <a:accent4>
      <a:srgbClr val="117733"/>
    </a:accent4>
    <a:accent5>
      <a:srgbClr val="8EC8E7"/>
    </a:accent5>
    <a:accent6>
      <a:srgbClr val="AA4499"/>
    </a:accent6>
    <a:hlink>
      <a:srgbClr val="0563C1"/>
    </a:hlink>
    <a:folHlink>
      <a:srgbClr val="954F72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Custom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7AA"/>
    </a:accent1>
    <a:accent2>
      <a:srgbClr val="CC6677"/>
    </a:accent2>
    <a:accent3>
      <a:srgbClr val="DDCC77"/>
    </a:accent3>
    <a:accent4>
      <a:srgbClr val="117733"/>
    </a:accent4>
    <a:accent5>
      <a:srgbClr val="8EC8E7"/>
    </a:accent5>
    <a:accent6>
      <a:srgbClr val="AA4499"/>
    </a:accent6>
    <a:hlink>
      <a:srgbClr val="0563C1"/>
    </a:hlink>
    <a:folHlink>
      <a:srgbClr val="954F72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Custom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7AA"/>
    </a:accent1>
    <a:accent2>
      <a:srgbClr val="CC6677"/>
    </a:accent2>
    <a:accent3>
      <a:srgbClr val="DDCC77"/>
    </a:accent3>
    <a:accent4>
      <a:srgbClr val="117733"/>
    </a:accent4>
    <a:accent5>
      <a:srgbClr val="8EC8E7"/>
    </a:accent5>
    <a:accent6>
      <a:srgbClr val="AA4499"/>
    </a:accent6>
    <a:hlink>
      <a:srgbClr val="0563C1"/>
    </a:hlink>
    <a:folHlink>
      <a:srgbClr val="954F72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Housing in London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7AA"/>
    </a:accent1>
    <a:accent2>
      <a:srgbClr val="CC6677"/>
    </a:accent2>
    <a:accent3>
      <a:srgbClr val="DDCC77"/>
    </a:accent3>
    <a:accent4>
      <a:srgbClr val="117733"/>
    </a:accent4>
    <a:accent5>
      <a:srgbClr val="8EC8E7"/>
    </a:accent5>
    <a:accent6>
      <a:srgbClr val="AA4499"/>
    </a:accent6>
    <a:hlink>
      <a:srgbClr val="0563C1"/>
    </a:hlink>
    <a:folHlink>
      <a:srgbClr val="954F72"/>
    </a:folHlink>
  </a:clrScheme>
  <a:fontScheme name="Housing in London">
    <a:majorFont>
      <a:latin typeface="Foundry Form Sans"/>
      <a:ea typeface=""/>
      <a:cs typeface=""/>
    </a:majorFont>
    <a:minorFont>
      <a:latin typeface="Foundry Form Sans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Housing in London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7AA"/>
    </a:accent1>
    <a:accent2>
      <a:srgbClr val="CC6677"/>
    </a:accent2>
    <a:accent3>
      <a:srgbClr val="DDCC77"/>
    </a:accent3>
    <a:accent4>
      <a:srgbClr val="117733"/>
    </a:accent4>
    <a:accent5>
      <a:srgbClr val="8EC8E7"/>
    </a:accent5>
    <a:accent6>
      <a:srgbClr val="AA4499"/>
    </a:accent6>
    <a:hlink>
      <a:srgbClr val="0563C1"/>
    </a:hlink>
    <a:folHlink>
      <a:srgbClr val="954F72"/>
    </a:folHlink>
  </a:clrScheme>
  <a:fontScheme name="Housing in London">
    <a:majorFont>
      <a:latin typeface="Foundry Form Sans"/>
      <a:ea typeface=""/>
      <a:cs typeface=""/>
    </a:majorFont>
    <a:minorFont>
      <a:latin typeface="Foundry Form Sans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Custom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7AA"/>
    </a:accent1>
    <a:accent2>
      <a:srgbClr val="CC6677"/>
    </a:accent2>
    <a:accent3>
      <a:srgbClr val="DDCC77"/>
    </a:accent3>
    <a:accent4>
      <a:srgbClr val="117733"/>
    </a:accent4>
    <a:accent5>
      <a:srgbClr val="8EC8E7"/>
    </a:accent5>
    <a:accent6>
      <a:srgbClr val="AA4499"/>
    </a:accent6>
    <a:hlink>
      <a:srgbClr val="0563C1"/>
    </a:hlink>
    <a:folHlink>
      <a:srgbClr val="954F72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Custom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7AA"/>
    </a:accent1>
    <a:accent2>
      <a:srgbClr val="CC6677"/>
    </a:accent2>
    <a:accent3>
      <a:srgbClr val="DDCC77"/>
    </a:accent3>
    <a:accent4>
      <a:srgbClr val="117733"/>
    </a:accent4>
    <a:accent5>
      <a:srgbClr val="8EC8E7"/>
    </a:accent5>
    <a:accent6>
      <a:srgbClr val="AA4499"/>
    </a:accent6>
    <a:hlink>
      <a:srgbClr val="0563C1"/>
    </a:hlink>
    <a:folHlink>
      <a:srgbClr val="954F72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" dT="2021-02-03T18:22:44.46" personId="{4ABB4FCC-69FA-4B3D-BFA8-30E374D1550E}" id="{1D01DAC3-8E71-4611-9523-BEBF131A7DE2}">
    <text>2018 figures recovered from the Internet Archive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67" dT="2020-06-19T11:27:32.15" personId="{4ABB4FCC-69FA-4B3D-BFA8-30E374D1550E}" id="{0AE6DB4A-F763-4267-81D5-564AC3E1111A}">
    <text>Should this be 2,034?</text>
  </threadedComment>
  <threadedComment ref="G67" dT="2020-06-24T11:28:30.67" personId="{FBF1F4D0-47C5-419E-9169-796B0B8FFF03}" id="{CF1E7FAA-9550-40C8-BD10-88B8F0F19110}" parentId="{0AE6DB4A-F763-4267-81D5-564AC3E1111A}">
    <text>Corrected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ktgdocs.cbre.com/2299/fcff2878-eace-4476-9b40-e8cdc807f34c-544344779/UK_Residential_Forecasts_Q3_20.pd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public.tableau.com/app/profile/citizensadvice/viz/AdviceissuesDecember2025/OnlineTrend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public.tableau.com/app/profile/citizensadvice/viz/AdviceissuesDecember2025/OnlineTrends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public.tableau.com/app/profile/citizensadvice/viz/AdviceissuesDecember2025/OnlineTrends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t.police.uk/foi-ai/metropolitan-police/disclosure-2024/july-2024/cris-reports-evictions-2019-2023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public.tableau.com/app/profile/citizensadvice/viz/AdviceissuesDecember2025/OnlineTrends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www.rightmove.co.uk/news/rental-price-tracker/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www.rightmove.co.uk/news/rental-price-tracker/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https://homelet.co.uk/homelet-rental-index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kfinance.org.uk/data-analysis/data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https://www.ukfinance.org.uk/data-analysis/data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hyperlink" Target="https://www.ukfinance.org.uk/data-analysis/data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kfinance.org.uk/data-analysis/data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5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7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75C8-4987-4DD8-98F8-4B21305EE4BD}">
  <dimension ref="B1:F47"/>
  <sheetViews>
    <sheetView zoomScale="89" zoomScaleNormal="86" workbookViewId="0">
      <selection activeCell="B12" sqref="B12:B13"/>
    </sheetView>
  </sheetViews>
  <sheetFormatPr baseColWidth="10" defaultColWidth="8.7109375" defaultRowHeight="16" x14ac:dyDescent="0.2"/>
  <cols>
    <col min="2" max="2" width="46.5703125" bestFit="1" customWidth="1"/>
    <col min="3" max="3" width="35.140625" customWidth="1"/>
    <col min="4" max="4" width="13.140625" bestFit="1" customWidth="1"/>
    <col min="5" max="5" width="17.28515625" customWidth="1"/>
    <col min="6" max="6" width="19.7109375" customWidth="1"/>
  </cols>
  <sheetData>
    <row r="1" spans="2:6" ht="17" thickBot="1" x14ac:dyDescent="0.25"/>
    <row r="2" spans="2:6" ht="18" thickBot="1" x14ac:dyDescent="0.25">
      <c r="B2" s="18" t="s">
        <v>0</v>
      </c>
      <c r="C2" s="19" t="s">
        <v>1</v>
      </c>
      <c r="D2" s="19" t="s">
        <v>2</v>
      </c>
      <c r="E2" s="124" t="s">
        <v>3</v>
      </c>
      <c r="F2" s="114" t="s">
        <v>4</v>
      </c>
    </row>
    <row r="3" spans="2:6" ht="18" thickBot="1" x14ac:dyDescent="0.25">
      <c r="B3" s="28" t="s">
        <v>5</v>
      </c>
      <c r="C3" s="21" t="s">
        <v>6</v>
      </c>
      <c r="D3" s="28" t="s">
        <v>7</v>
      </c>
      <c r="E3" s="187"/>
      <c r="F3" s="133" t="s">
        <v>8</v>
      </c>
    </row>
    <row r="4" spans="2:6" ht="18" thickBot="1" x14ac:dyDescent="0.25">
      <c r="B4" s="28" t="s">
        <v>5</v>
      </c>
      <c r="C4" s="21" t="s">
        <v>9</v>
      </c>
      <c r="D4" s="20"/>
      <c r="E4" s="188"/>
      <c r="F4" s="116"/>
    </row>
    <row r="5" spans="2:6" ht="18" thickBot="1" x14ac:dyDescent="0.25">
      <c r="B5" s="28" t="s">
        <v>5</v>
      </c>
      <c r="C5" s="22" t="s">
        <v>10</v>
      </c>
      <c r="D5" s="23"/>
      <c r="E5" s="189"/>
      <c r="F5" s="117"/>
    </row>
    <row r="6" spans="2:6" ht="18" thickBot="1" x14ac:dyDescent="0.25">
      <c r="B6" s="103" t="s">
        <v>11</v>
      </c>
      <c r="C6" s="22" t="s">
        <v>12</v>
      </c>
      <c r="D6" s="22" t="s">
        <v>13</v>
      </c>
      <c r="E6" s="131" t="s">
        <v>14</v>
      </c>
      <c r="F6" s="132" t="s">
        <v>8</v>
      </c>
    </row>
    <row r="7" spans="2:6" ht="18" thickBot="1" x14ac:dyDescent="0.25">
      <c r="B7" s="20"/>
      <c r="C7" s="22" t="s">
        <v>6</v>
      </c>
      <c r="D7" s="22">
        <v>2023</v>
      </c>
      <c r="E7" s="123"/>
      <c r="F7" s="122" t="s">
        <v>15</v>
      </c>
    </row>
    <row r="8" spans="2:6" ht="35.25" customHeight="1" thickBot="1" x14ac:dyDescent="0.25">
      <c r="B8" s="28" t="s">
        <v>16</v>
      </c>
      <c r="C8" s="22" t="s">
        <v>17</v>
      </c>
      <c r="D8" s="31" t="s">
        <v>18</v>
      </c>
      <c r="E8" s="123" t="s">
        <v>19</v>
      </c>
      <c r="F8" s="118"/>
    </row>
    <row r="9" spans="2:6" ht="35" thickBot="1" x14ac:dyDescent="0.25">
      <c r="B9" s="28" t="s">
        <v>16</v>
      </c>
      <c r="C9" s="22" t="s">
        <v>20</v>
      </c>
      <c r="D9" s="22" t="s">
        <v>21</v>
      </c>
      <c r="E9" s="123"/>
      <c r="F9" s="116" t="s">
        <v>22</v>
      </c>
    </row>
    <row r="10" spans="2:6" ht="35" thickBot="1" x14ac:dyDescent="0.25">
      <c r="B10" s="28" t="s">
        <v>16</v>
      </c>
      <c r="C10" s="22" t="s">
        <v>23</v>
      </c>
      <c r="D10" s="22" t="s">
        <v>24</v>
      </c>
      <c r="E10" s="123"/>
      <c r="F10" s="116" t="s">
        <v>8</v>
      </c>
    </row>
    <row r="11" spans="2:6" ht="35" thickBot="1" x14ac:dyDescent="0.25">
      <c r="B11" s="23" t="s">
        <v>25</v>
      </c>
      <c r="C11" s="80" t="s">
        <v>26</v>
      </c>
      <c r="D11" s="81"/>
      <c r="E11" s="134"/>
      <c r="F11" s="135"/>
    </row>
    <row r="12" spans="2:6" ht="35" thickBot="1" x14ac:dyDescent="0.25">
      <c r="B12" s="181" t="s">
        <v>27</v>
      </c>
      <c r="C12" s="22" t="s">
        <v>28</v>
      </c>
      <c r="D12" s="22" t="s">
        <v>18</v>
      </c>
      <c r="E12" s="123"/>
      <c r="F12" s="116" t="s">
        <v>8</v>
      </c>
    </row>
    <row r="13" spans="2:6" ht="35" thickBot="1" x14ac:dyDescent="0.25">
      <c r="B13" s="183"/>
      <c r="C13" s="22" t="s">
        <v>29</v>
      </c>
      <c r="D13" s="22" t="s">
        <v>21</v>
      </c>
      <c r="E13" s="123"/>
      <c r="F13" s="118" t="s">
        <v>8</v>
      </c>
    </row>
    <row r="14" spans="2:6" ht="18" thickBot="1" x14ac:dyDescent="0.25">
      <c r="B14" s="23" t="s">
        <v>30</v>
      </c>
      <c r="C14" s="80"/>
      <c r="D14" s="81"/>
      <c r="E14" s="136" t="s">
        <v>31</v>
      </c>
      <c r="F14" s="137"/>
    </row>
    <row r="15" spans="2:6" ht="17" x14ac:dyDescent="0.2">
      <c r="B15" s="181" t="s">
        <v>32</v>
      </c>
      <c r="C15" s="21" t="s">
        <v>6</v>
      </c>
      <c r="D15" s="181" t="s">
        <v>7</v>
      </c>
      <c r="E15" s="187"/>
      <c r="F15" s="115" t="s">
        <v>8</v>
      </c>
    </row>
    <row r="16" spans="2:6" ht="18" thickBot="1" x14ac:dyDescent="0.25">
      <c r="B16" s="183"/>
      <c r="C16" s="22" t="s">
        <v>33</v>
      </c>
      <c r="D16" s="183"/>
      <c r="E16" s="189"/>
      <c r="F16" s="117"/>
    </row>
    <row r="17" spans="2:6" ht="17" x14ac:dyDescent="0.2">
      <c r="B17" s="181" t="s">
        <v>34</v>
      </c>
      <c r="C17" s="21" t="s">
        <v>6</v>
      </c>
      <c r="D17" s="21" t="s">
        <v>7</v>
      </c>
      <c r="E17" s="187"/>
      <c r="F17" s="115"/>
    </row>
    <row r="18" spans="2:6" ht="18" thickBot="1" x14ac:dyDescent="0.25">
      <c r="B18" s="183"/>
      <c r="C18" s="80" t="s">
        <v>35</v>
      </c>
      <c r="D18" s="80" t="s">
        <v>7</v>
      </c>
      <c r="E18" s="189"/>
      <c r="F18" s="117"/>
    </row>
    <row r="19" spans="2:6" ht="52" thickBot="1" x14ac:dyDescent="0.25">
      <c r="B19" s="23" t="s">
        <v>36</v>
      </c>
      <c r="C19" s="22" t="s">
        <v>37</v>
      </c>
      <c r="D19" s="22" t="s">
        <v>18</v>
      </c>
      <c r="E19" s="121" t="s">
        <v>38</v>
      </c>
      <c r="F19" s="119"/>
    </row>
    <row r="20" spans="2:6" ht="18" thickBot="1" x14ac:dyDescent="0.25">
      <c r="B20" s="23" t="s">
        <v>39</v>
      </c>
      <c r="C20" s="22" t="s">
        <v>40</v>
      </c>
      <c r="D20" s="22" t="s">
        <v>18</v>
      </c>
      <c r="E20" s="120"/>
      <c r="F20" s="118" t="s">
        <v>8</v>
      </c>
    </row>
    <row r="21" spans="2:6" ht="18" thickBot="1" x14ac:dyDescent="0.25">
      <c r="B21" s="196" t="s">
        <v>41</v>
      </c>
      <c r="C21" s="22" t="s">
        <v>42</v>
      </c>
      <c r="D21" s="22"/>
      <c r="E21" s="121" t="s">
        <v>43</v>
      </c>
      <c r="F21" s="118" t="s">
        <v>8</v>
      </c>
    </row>
    <row r="22" spans="2:6" ht="35" thickBot="1" x14ac:dyDescent="0.25">
      <c r="B22" s="197"/>
      <c r="C22" s="22" t="s">
        <v>44</v>
      </c>
      <c r="D22" s="22" t="s">
        <v>18</v>
      </c>
      <c r="E22" s="119" t="s">
        <v>45</v>
      </c>
      <c r="F22" s="119"/>
    </row>
    <row r="23" spans="2:6" ht="18" thickBot="1" x14ac:dyDescent="0.25">
      <c r="B23" s="23" t="s">
        <v>46</v>
      </c>
      <c r="C23" s="22" t="s">
        <v>6</v>
      </c>
      <c r="D23" s="22" t="s">
        <v>7</v>
      </c>
      <c r="E23" s="120"/>
      <c r="F23" s="118" t="s">
        <v>8</v>
      </c>
    </row>
    <row r="24" spans="2:6" ht="18" thickBot="1" x14ac:dyDescent="0.25">
      <c r="B24" s="23" t="s">
        <v>47</v>
      </c>
      <c r="C24" s="22" t="s">
        <v>48</v>
      </c>
      <c r="D24" s="22" t="s">
        <v>7</v>
      </c>
      <c r="E24" s="120"/>
      <c r="F24" s="118"/>
    </row>
    <row r="25" spans="2:6" ht="35" thickBot="1" x14ac:dyDescent="0.25">
      <c r="B25" s="23" t="s">
        <v>49</v>
      </c>
      <c r="C25" s="22" t="s">
        <v>50</v>
      </c>
      <c r="D25" s="22"/>
      <c r="E25" s="121" t="s">
        <v>51</v>
      </c>
      <c r="F25" s="119"/>
    </row>
    <row r="26" spans="2:6" ht="35" thickBot="1" x14ac:dyDescent="0.25">
      <c r="B26" s="141" t="s">
        <v>52</v>
      </c>
      <c r="C26" s="80" t="s">
        <v>53</v>
      </c>
      <c r="D26" s="80"/>
      <c r="E26" s="142" t="s">
        <v>54</v>
      </c>
      <c r="F26" s="143"/>
    </row>
    <row r="27" spans="2:6" ht="17" x14ac:dyDescent="0.2">
      <c r="B27" s="28" t="s">
        <v>55</v>
      </c>
      <c r="C27" s="21" t="s">
        <v>6</v>
      </c>
      <c r="D27" s="21" t="s">
        <v>7</v>
      </c>
      <c r="E27" s="190"/>
      <c r="F27" s="115"/>
    </row>
    <row r="28" spans="2:6" ht="17" x14ac:dyDescent="0.2">
      <c r="B28" s="20"/>
      <c r="C28" s="21" t="s">
        <v>56</v>
      </c>
      <c r="D28" s="21" t="s">
        <v>57</v>
      </c>
      <c r="E28" s="191"/>
      <c r="F28" s="116" t="s">
        <v>8</v>
      </c>
    </row>
    <row r="29" spans="2:6" ht="18" thickBot="1" x14ac:dyDescent="0.25">
      <c r="B29" s="23"/>
      <c r="C29" s="22" t="s">
        <v>58</v>
      </c>
      <c r="D29" s="22" t="s">
        <v>59</v>
      </c>
      <c r="E29" s="192"/>
      <c r="F29" s="117"/>
    </row>
    <row r="30" spans="2:6" ht="52" thickBot="1" x14ac:dyDescent="0.25">
      <c r="B30" s="23" t="s">
        <v>60</v>
      </c>
      <c r="C30" s="22" t="s">
        <v>61</v>
      </c>
      <c r="D30" s="22" t="s">
        <v>62</v>
      </c>
      <c r="E30" s="120"/>
      <c r="F30" s="22" t="s">
        <v>63</v>
      </c>
    </row>
    <row r="31" spans="2:6" ht="17" thickBot="1" x14ac:dyDescent="0.25">
      <c r="B31" s="29"/>
      <c r="C31" s="30"/>
      <c r="D31" s="30"/>
      <c r="E31" s="24"/>
      <c r="F31" s="51"/>
    </row>
    <row r="32" spans="2:6" ht="17" thickBot="1" x14ac:dyDescent="0.25">
      <c r="B32" s="193" t="s">
        <v>64</v>
      </c>
      <c r="C32" s="194"/>
      <c r="D32" s="194"/>
      <c r="E32" s="195"/>
      <c r="F32" s="50"/>
    </row>
    <row r="33" spans="2:6" ht="35" thickBot="1" x14ac:dyDescent="0.25">
      <c r="B33" s="23" t="s">
        <v>65</v>
      </c>
      <c r="C33" s="22" t="s">
        <v>66</v>
      </c>
      <c r="D33" s="22" t="s">
        <v>67</v>
      </c>
      <c r="E33" s="24"/>
      <c r="F33" s="51"/>
    </row>
    <row r="34" spans="2:6" ht="17" x14ac:dyDescent="0.2">
      <c r="B34" s="181" t="s">
        <v>68</v>
      </c>
      <c r="C34" s="21" t="s">
        <v>69</v>
      </c>
      <c r="D34" s="181" t="s">
        <v>70</v>
      </c>
      <c r="E34" s="184"/>
      <c r="F34" s="51"/>
    </row>
    <row r="35" spans="2:6" ht="17" x14ac:dyDescent="0.2">
      <c r="B35" s="182"/>
      <c r="C35" s="21" t="s">
        <v>71</v>
      </c>
      <c r="D35" s="182"/>
      <c r="E35" s="185"/>
      <c r="F35" s="51"/>
    </row>
    <row r="36" spans="2:6" ht="18" thickBot="1" x14ac:dyDescent="0.25">
      <c r="B36" s="183"/>
      <c r="C36" s="22" t="s">
        <v>72</v>
      </c>
      <c r="D36" s="183"/>
      <c r="E36" s="186"/>
      <c r="F36" s="51"/>
    </row>
    <row r="37" spans="2:6" ht="18" thickBot="1" x14ac:dyDescent="0.25">
      <c r="B37" s="23" t="s">
        <v>73</v>
      </c>
      <c r="C37" s="22" t="s">
        <v>74</v>
      </c>
      <c r="D37" s="22"/>
      <c r="E37" s="24"/>
      <c r="F37" s="51"/>
    </row>
    <row r="38" spans="2:6" ht="52" thickBot="1" x14ac:dyDescent="0.25">
      <c r="B38" s="23" t="s">
        <v>75</v>
      </c>
      <c r="C38" s="22" t="s">
        <v>76</v>
      </c>
      <c r="D38" s="22" t="s">
        <v>7</v>
      </c>
      <c r="E38" s="24"/>
      <c r="F38" s="51"/>
    </row>
    <row r="39" spans="2:6" ht="52" thickBot="1" x14ac:dyDescent="0.25">
      <c r="B39" s="23" t="s">
        <v>77</v>
      </c>
      <c r="C39" s="22" t="s">
        <v>78</v>
      </c>
      <c r="D39" s="22" t="s">
        <v>21</v>
      </c>
      <c r="E39" s="24"/>
      <c r="F39" s="51"/>
    </row>
    <row r="40" spans="2:6" ht="35" thickBot="1" x14ac:dyDescent="0.25">
      <c r="B40" s="23" t="s">
        <v>79</v>
      </c>
      <c r="C40" s="22" t="s">
        <v>80</v>
      </c>
      <c r="D40" s="22" t="s">
        <v>67</v>
      </c>
      <c r="E40" s="24"/>
      <c r="F40" s="51"/>
    </row>
    <row r="41" spans="2:6" ht="35" thickBot="1" x14ac:dyDescent="0.25">
      <c r="B41" s="23" t="s">
        <v>81</v>
      </c>
      <c r="C41" s="25" t="s">
        <v>82</v>
      </c>
      <c r="D41" s="22" t="s">
        <v>83</v>
      </c>
      <c r="E41" s="24"/>
      <c r="F41" s="51"/>
    </row>
    <row r="42" spans="2:6" ht="17" thickBot="1" x14ac:dyDescent="0.25">
      <c r="B42" s="23"/>
      <c r="C42" s="22"/>
      <c r="D42" s="22"/>
      <c r="E42" s="24"/>
      <c r="F42" s="51"/>
    </row>
    <row r="43" spans="2:6" x14ac:dyDescent="0.2">
      <c r="B43" s="27"/>
    </row>
    <row r="44" spans="2:6" x14ac:dyDescent="0.2">
      <c r="B44" s="26"/>
    </row>
    <row r="45" spans="2:6" x14ac:dyDescent="0.2">
      <c r="B45" s="26"/>
    </row>
    <row r="46" spans="2:6" x14ac:dyDescent="0.2">
      <c r="B46" s="26"/>
    </row>
    <row r="47" spans="2:6" x14ac:dyDescent="0.2">
      <c r="B47" s="27"/>
    </row>
  </sheetData>
  <autoFilter ref="B2:E30" xr:uid="{8AEA75C8-4987-4DD8-98F8-4B21305EE4BD}"/>
  <mergeCells count="13">
    <mergeCell ref="B34:B36"/>
    <mergeCell ref="D34:D36"/>
    <mergeCell ref="E34:E36"/>
    <mergeCell ref="E3:E5"/>
    <mergeCell ref="B12:B13"/>
    <mergeCell ref="B15:B16"/>
    <mergeCell ref="D15:D16"/>
    <mergeCell ref="E15:E16"/>
    <mergeCell ref="B17:B18"/>
    <mergeCell ref="E17:E18"/>
    <mergeCell ref="E27:E29"/>
    <mergeCell ref="B32:E32"/>
    <mergeCell ref="B21:B22"/>
  </mergeCells>
  <hyperlinks>
    <hyperlink ref="C41" r:id="rId1" display="https://mktgdocs.cbre.com/2299/fcff2878-eace-4476-9b40-e8cdc807f34c-544344779/UK_Residential_Forecasts_Q3_20.pdf" xr:uid="{719E6531-4943-42FB-A2AA-C820F40764B0}"/>
  </hyperlinks>
  <pageMargins left="0.7" right="0.7" top="0.75" bottom="0.75" header="0.3" footer="0.3"/>
  <pageSetup paperSize="9"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92C93-AC9E-45C3-A171-8F39746B8085}">
  <sheetPr>
    <tabColor theme="5"/>
  </sheetPr>
  <dimension ref="B2:E13"/>
  <sheetViews>
    <sheetView workbookViewId="0">
      <selection activeCell="B14" sqref="B14"/>
    </sheetView>
  </sheetViews>
  <sheetFormatPr baseColWidth="10" defaultColWidth="8.85546875" defaultRowHeight="16" x14ac:dyDescent="0.2"/>
  <cols>
    <col min="1" max="1" width="8.85546875" style="52"/>
    <col min="2" max="2" width="16.28515625" style="52" customWidth="1"/>
    <col min="3" max="3" width="10.140625" style="52" customWidth="1"/>
    <col min="4" max="4" width="10.5703125" style="52" bestFit="1" customWidth="1"/>
    <col min="5" max="16384" width="8.85546875" style="52"/>
  </cols>
  <sheetData>
    <row r="2" spans="2:5" x14ac:dyDescent="0.2">
      <c r="B2" s="52" t="s">
        <v>1</v>
      </c>
      <c r="C2" s="52" t="s">
        <v>84</v>
      </c>
    </row>
    <row r="3" spans="2:5" x14ac:dyDescent="0.2">
      <c r="B3" s="52" t="s">
        <v>85</v>
      </c>
      <c r="C3" s="53" t="s">
        <v>86</v>
      </c>
    </row>
    <row r="4" spans="2:5" x14ac:dyDescent="0.2">
      <c r="B4" s="52" t="s">
        <v>87</v>
      </c>
      <c r="C4" s="52" t="s">
        <v>88</v>
      </c>
    </row>
    <row r="5" spans="2:5" x14ac:dyDescent="0.2">
      <c r="B5" s="52" t="s">
        <v>89</v>
      </c>
      <c r="C5" s="52" t="s">
        <v>90</v>
      </c>
    </row>
    <row r="7" spans="2:5" x14ac:dyDescent="0.2">
      <c r="B7" s="157" t="s">
        <v>91</v>
      </c>
      <c r="C7" s="157" t="s">
        <v>92</v>
      </c>
      <c r="D7" s="157" t="s">
        <v>93</v>
      </c>
    </row>
    <row r="8" spans="2:5" ht="17" x14ac:dyDescent="0.2">
      <c r="B8" s="158" t="s">
        <v>94</v>
      </c>
      <c r="C8" s="97">
        <v>3823.85207557678</v>
      </c>
      <c r="D8" s="102">
        <v>2.99892817402528E-2</v>
      </c>
    </row>
    <row r="9" spans="2:5" ht="17" x14ac:dyDescent="0.2">
      <c r="B9" s="158" t="s">
        <v>95</v>
      </c>
      <c r="C9" s="97">
        <v>15860.7464766502</v>
      </c>
      <c r="D9" s="102">
        <v>0.12439089831351299</v>
      </c>
    </row>
    <row r="10" spans="2:5" ht="34" x14ac:dyDescent="0.2">
      <c r="B10" s="158" t="s">
        <v>96</v>
      </c>
      <c r="C10" s="97">
        <v>48412.370315551801</v>
      </c>
      <c r="D10" s="102">
        <v>0.37968315311662199</v>
      </c>
    </row>
    <row r="11" spans="2:5" ht="17" x14ac:dyDescent="0.2">
      <c r="B11" s="158" t="s">
        <v>97</v>
      </c>
      <c r="C11" s="97">
        <v>7884.5241913795498</v>
      </c>
      <c r="D11" s="102">
        <v>6.1835869351053299E-2</v>
      </c>
      <c r="E11" s="148"/>
    </row>
    <row r="12" spans="2:5" ht="17" x14ac:dyDescent="0.2">
      <c r="B12" s="158" t="s">
        <v>98</v>
      </c>
      <c r="C12" s="97">
        <v>51466.912614822402</v>
      </c>
      <c r="D12" s="102">
        <v>0.40363897771177998</v>
      </c>
    </row>
    <row r="13" spans="2:5" ht="17" x14ac:dyDescent="0.2">
      <c r="B13" s="158" t="s">
        <v>99</v>
      </c>
      <c r="C13" s="97">
        <v>58.885387420654297</v>
      </c>
      <c r="D13" s="102">
        <v>4.6181976677943799E-4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0FC0-E1A1-4975-952D-163F4C50C4E7}">
  <sheetPr>
    <tabColor theme="5"/>
  </sheetPr>
  <dimension ref="B2:E9"/>
  <sheetViews>
    <sheetView zoomScale="103" workbookViewId="0">
      <selection activeCell="G20" sqref="G20"/>
    </sheetView>
  </sheetViews>
  <sheetFormatPr baseColWidth="10" defaultColWidth="8.85546875" defaultRowHeight="16" x14ac:dyDescent="0.2"/>
  <cols>
    <col min="1" max="1" width="8.85546875" style="52"/>
    <col min="2" max="2" width="9" style="52" bestFit="1" customWidth="1"/>
    <col min="3" max="3" width="11.85546875" style="52" bestFit="1" customWidth="1"/>
    <col min="4" max="4" width="10.5703125" style="52" bestFit="1" customWidth="1"/>
    <col min="5" max="5" width="9" style="52" bestFit="1" customWidth="1"/>
    <col min="6" max="6" width="10.5703125" style="52" bestFit="1" customWidth="1"/>
    <col min="7" max="16384" width="8.85546875" style="52"/>
  </cols>
  <sheetData>
    <row r="2" spans="2:5" x14ac:dyDescent="0.2">
      <c r="B2" s="52" t="s">
        <v>1</v>
      </c>
      <c r="C2" s="52" t="s">
        <v>100</v>
      </c>
    </row>
    <row r="3" spans="2:5" x14ac:dyDescent="0.2">
      <c r="B3" s="52" t="s">
        <v>85</v>
      </c>
      <c r="C3" s="53">
        <v>46327</v>
      </c>
    </row>
    <row r="4" spans="2:5" x14ac:dyDescent="0.2">
      <c r="B4" s="52" t="s">
        <v>87</v>
      </c>
      <c r="C4" s="52" t="s">
        <v>101</v>
      </c>
    </row>
    <row r="5" spans="2:5" x14ac:dyDescent="0.2">
      <c r="B5" s="52" t="s">
        <v>89</v>
      </c>
      <c r="C5" s="52" t="s">
        <v>102</v>
      </c>
    </row>
    <row r="7" spans="2:5" x14ac:dyDescent="0.2">
      <c r="B7" s="144" t="s">
        <v>103</v>
      </c>
      <c r="C7" s="145" t="s">
        <v>104</v>
      </c>
      <c r="D7" s="145" t="s">
        <v>105</v>
      </c>
      <c r="E7" s="145" t="s">
        <v>106</v>
      </c>
    </row>
    <row r="8" spans="2:5" x14ac:dyDescent="0.2">
      <c r="B8" s="138" t="s">
        <v>107</v>
      </c>
      <c r="C8" s="146">
        <v>489660.488179359</v>
      </c>
      <c r="D8" s="146">
        <v>166</v>
      </c>
      <c r="E8" s="147">
        <v>0.221178894114376</v>
      </c>
    </row>
    <row r="9" spans="2:5" x14ac:dyDescent="0.2">
      <c r="B9" s="138" t="s">
        <v>108</v>
      </c>
      <c r="C9" s="146">
        <v>1724205.758598</v>
      </c>
      <c r="D9" s="146">
        <v>645</v>
      </c>
      <c r="E9" s="147">
        <v>0.77882110588562403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C6BEE-80A7-4DFF-A62B-821EA1D7E6A0}">
  <sheetPr>
    <tabColor theme="5"/>
  </sheetPr>
  <dimension ref="B2:H24"/>
  <sheetViews>
    <sheetView zoomScale="70" zoomScaleNormal="70" workbookViewId="0">
      <selection activeCell="J59" sqref="J59"/>
    </sheetView>
  </sheetViews>
  <sheetFormatPr baseColWidth="10" defaultColWidth="8.85546875" defaultRowHeight="16" x14ac:dyDescent="0.2"/>
  <cols>
    <col min="1" max="1" width="8.85546875" style="52"/>
    <col min="2" max="2" width="9" style="52" bestFit="1" customWidth="1"/>
    <col min="3" max="3" width="11.42578125" style="52" bestFit="1" customWidth="1"/>
    <col min="4" max="4" width="11.85546875" style="52" customWidth="1"/>
    <col min="5" max="5" width="12.5703125" style="52" customWidth="1"/>
    <col min="6" max="6" width="13.5703125" style="52" customWidth="1"/>
    <col min="7" max="7" width="8.85546875" style="52"/>
    <col min="8" max="8" width="14.28515625" style="52" bestFit="1" customWidth="1"/>
    <col min="9" max="9" width="17.28515625" style="52" bestFit="1" customWidth="1"/>
    <col min="10" max="10" width="13.7109375" style="52" bestFit="1" customWidth="1"/>
    <col min="11" max="11" width="14.140625" style="52" bestFit="1" customWidth="1"/>
    <col min="12" max="12" width="12" style="52" bestFit="1" customWidth="1"/>
    <col min="13" max="23" width="16.7109375" style="52" bestFit="1" customWidth="1"/>
    <col min="24" max="24" width="11.28515625" style="52" bestFit="1" customWidth="1"/>
    <col min="25" max="16384" width="8.85546875" style="52"/>
  </cols>
  <sheetData>
    <row r="2" spans="2:5" x14ac:dyDescent="0.2">
      <c r="B2" s="52" t="s">
        <v>1</v>
      </c>
      <c r="C2" s="52" t="s">
        <v>109</v>
      </c>
    </row>
    <row r="3" spans="2:5" x14ac:dyDescent="0.2">
      <c r="B3" s="52" t="s">
        <v>85</v>
      </c>
      <c r="C3" s="53">
        <v>46327</v>
      </c>
    </row>
    <row r="4" spans="2:5" x14ac:dyDescent="0.2">
      <c r="B4" s="52" t="s">
        <v>87</v>
      </c>
      <c r="C4" s="54" t="s">
        <v>101</v>
      </c>
    </row>
    <row r="5" spans="2:5" x14ac:dyDescent="0.2">
      <c r="B5" s="52" t="s">
        <v>89</v>
      </c>
      <c r="C5" s="52" t="s">
        <v>110</v>
      </c>
    </row>
    <row r="7" spans="2:5" x14ac:dyDescent="0.2">
      <c r="B7" s="52" t="s">
        <v>106</v>
      </c>
    </row>
    <row r="8" spans="2:5" x14ac:dyDescent="0.2">
      <c r="B8" s="93" t="s">
        <v>111</v>
      </c>
      <c r="C8" s="94" t="s">
        <v>112</v>
      </c>
      <c r="D8" s="94" t="s">
        <v>113</v>
      </c>
      <c r="E8" s="94" t="s">
        <v>114</v>
      </c>
    </row>
    <row r="9" spans="2:5" x14ac:dyDescent="0.2">
      <c r="B9" s="91">
        <v>2008</v>
      </c>
      <c r="C9" s="152">
        <v>0.52942466844196701</v>
      </c>
      <c r="D9" s="152">
        <v>0.25530840178376801</v>
      </c>
      <c r="E9" s="152">
        <v>0.21526692977426501</v>
      </c>
    </row>
    <row r="10" spans="2:5" x14ac:dyDescent="0.2">
      <c r="B10" s="91">
        <v>2009</v>
      </c>
      <c r="C10" s="152">
        <v>0.53455103881893395</v>
      </c>
      <c r="D10" s="152">
        <v>0.234982210029616</v>
      </c>
      <c r="E10" s="152">
        <v>0.23046675115144899</v>
      </c>
    </row>
    <row r="11" spans="2:5" x14ac:dyDescent="0.2">
      <c r="B11" s="91">
        <v>2010</v>
      </c>
      <c r="C11" s="152">
        <v>0.50699279440617795</v>
      </c>
      <c r="D11" s="152">
        <v>0.23929539738421801</v>
      </c>
      <c r="E11" s="152">
        <v>0.25371180820960398</v>
      </c>
    </row>
    <row r="12" spans="2:5" x14ac:dyDescent="0.2">
      <c r="B12" s="91">
        <v>2011</v>
      </c>
      <c r="C12" s="152">
        <v>0.49234645304137797</v>
      </c>
      <c r="D12" s="152">
        <v>0.247151909185582</v>
      </c>
      <c r="E12" s="152">
        <v>0.26050163777303997</v>
      </c>
    </row>
    <row r="13" spans="2:5" x14ac:dyDescent="0.2">
      <c r="B13" s="91">
        <v>2012</v>
      </c>
      <c r="C13" s="152">
        <v>0.506981772213288</v>
      </c>
      <c r="D13" s="152">
        <v>0.25158256792591399</v>
      </c>
      <c r="E13" s="152">
        <v>0.24143565986079801</v>
      </c>
    </row>
    <row r="14" spans="2:5" x14ac:dyDescent="0.2">
      <c r="B14" s="91">
        <v>2013</v>
      </c>
      <c r="C14" s="92">
        <v>0.481546667939588</v>
      </c>
      <c r="D14" s="92">
        <v>0.222698674325916</v>
      </c>
      <c r="E14" s="92">
        <v>0.295754657734496</v>
      </c>
    </row>
    <row r="15" spans="2:5" x14ac:dyDescent="0.2">
      <c r="B15" s="91">
        <v>2014</v>
      </c>
      <c r="C15" s="92">
        <v>0.495368383428683</v>
      </c>
      <c r="D15" s="92">
        <v>0.23263325142337399</v>
      </c>
      <c r="E15" s="92">
        <v>0.27199836514794401</v>
      </c>
    </row>
    <row r="16" spans="2:5" x14ac:dyDescent="0.2">
      <c r="B16" s="91">
        <v>2015</v>
      </c>
      <c r="C16" s="92">
        <v>0.49383817609487501</v>
      </c>
      <c r="D16" s="92">
        <v>0.22516824506392799</v>
      </c>
      <c r="E16" s="92">
        <v>0.28099357884119702</v>
      </c>
    </row>
    <row r="17" spans="2:8" x14ac:dyDescent="0.2">
      <c r="B17" s="91">
        <v>2016</v>
      </c>
      <c r="C17" s="92">
        <v>0.47504079208799199</v>
      </c>
      <c r="D17" s="92">
        <v>0.22477092681824701</v>
      </c>
      <c r="E17" s="92">
        <v>0.300188281093762</v>
      </c>
    </row>
    <row r="18" spans="2:8" x14ac:dyDescent="0.2">
      <c r="B18" s="91">
        <v>2017</v>
      </c>
      <c r="C18" s="98">
        <v>0.483485856017972</v>
      </c>
      <c r="D18" s="98">
        <v>0.22659778990617499</v>
      </c>
      <c r="E18" s="92">
        <v>0.28991635407585298</v>
      </c>
    </row>
    <row r="19" spans="2:8" x14ac:dyDescent="0.2">
      <c r="B19" s="91">
        <v>2018</v>
      </c>
      <c r="C19" s="92">
        <v>0.49982047726242101</v>
      </c>
      <c r="D19" s="92">
        <v>0.22739107025845401</v>
      </c>
      <c r="E19" s="92">
        <v>0.27278845247912598</v>
      </c>
    </row>
    <row r="20" spans="2:8" x14ac:dyDescent="0.2">
      <c r="B20" s="91">
        <v>2019</v>
      </c>
      <c r="C20" s="92">
        <v>0.49603233755981602</v>
      </c>
      <c r="D20" s="92">
        <v>0.22244280301915201</v>
      </c>
      <c r="E20" s="92">
        <v>0.281524859421032</v>
      </c>
    </row>
    <row r="21" spans="2:8" x14ac:dyDescent="0.2">
      <c r="B21" s="91">
        <v>2020</v>
      </c>
      <c r="C21" s="92">
        <v>0.50724997095009505</v>
      </c>
      <c r="D21" s="92">
        <v>0.22497377183894701</v>
      </c>
      <c r="E21" s="92">
        <v>0.26777625721095799</v>
      </c>
    </row>
    <row r="22" spans="2:8" x14ac:dyDescent="0.2">
      <c r="B22" s="91">
        <v>2021</v>
      </c>
      <c r="C22" s="92">
        <v>0.48931205688269502</v>
      </c>
      <c r="D22" s="92">
        <v>0.218470504061237</v>
      </c>
      <c r="E22" s="92">
        <v>0.29221743905606801</v>
      </c>
    </row>
    <row r="23" spans="2:8" x14ac:dyDescent="0.2">
      <c r="B23" s="91">
        <v>2022</v>
      </c>
      <c r="C23" s="92">
        <v>0.48530544210722298</v>
      </c>
      <c r="D23" s="92">
        <v>0.20757637992676001</v>
      </c>
      <c r="E23" s="92">
        <v>0.30711817796601698</v>
      </c>
    </row>
    <row r="24" spans="2:8" x14ac:dyDescent="0.2">
      <c r="B24" s="91">
        <v>2023</v>
      </c>
      <c r="C24" s="92">
        <v>0.47475739458368799</v>
      </c>
      <c r="D24" s="92">
        <v>0.20764353214697501</v>
      </c>
      <c r="E24" s="92">
        <v>0.31759907326933801</v>
      </c>
      <c r="F24" s="148"/>
      <c r="G24" s="148"/>
      <c r="H24" s="148"/>
    </row>
  </sheetData>
  <hyperlinks>
    <hyperlink ref="C4" r:id="rId1" display="Citizen advice" xr:uid="{407CB09B-DBDE-4B29-BA72-DDA18B0D85AF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9B8E-C83E-4DBF-80A4-5D58B7BCCB9D}">
  <sheetPr filterMode="1">
    <tabColor theme="5"/>
  </sheetPr>
  <dimension ref="B2:F56"/>
  <sheetViews>
    <sheetView workbookViewId="0">
      <selection activeCell="D64" sqref="D64"/>
    </sheetView>
  </sheetViews>
  <sheetFormatPr baseColWidth="10" defaultColWidth="8.85546875" defaultRowHeight="16" x14ac:dyDescent="0.2"/>
  <cols>
    <col min="1" max="1" width="8.85546875" style="52"/>
    <col min="2" max="2" width="11.28515625" style="52" customWidth="1"/>
    <col min="3" max="3" width="13.85546875" style="52" customWidth="1"/>
    <col min="4" max="4" width="8.85546875" style="52"/>
    <col min="5" max="5" width="10.85546875" style="52" bestFit="1" customWidth="1"/>
    <col min="6" max="16384" width="8.85546875" style="52"/>
  </cols>
  <sheetData>
    <row r="2" spans="2:6" x14ac:dyDescent="0.2">
      <c r="B2" s="52" t="s">
        <v>1</v>
      </c>
      <c r="C2" s="52" t="s">
        <v>115</v>
      </c>
    </row>
    <row r="3" spans="2:6" x14ac:dyDescent="0.2">
      <c r="B3" s="52" t="s">
        <v>85</v>
      </c>
      <c r="C3" s="53">
        <v>46327</v>
      </c>
    </row>
    <row r="4" spans="2:6" x14ac:dyDescent="0.2">
      <c r="B4" s="52" t="s">
        <v>87</v>
      </c>
      <c r="C4" s="54" t="s">
        <v>101</v>
      </c>
    </row>
    <row r="5" spans="2:6" x14ac:dyDescent="0.2">
      <c r="B5" s="52" t="s">
        <v>89</v>
      </c>
      <c r="C5" s="52" t="s">
        <v>110</v>
      </c>
    </row>
    <row r="7" spans="2:6" x14ac:dyDescent="0.2">
      <c r="B7" s="161" t="s">
        <v>116</v>
      </c>
      <c r="C7" s="161" t="s">
        <v>117</v>
      </c>
      <c r="D7" s="161" t="s">
        <v>111</v>
      </c>
      <c r="E7" s="161" t="s">
        <v>118</v>
      </c>
      <c r="F7" s="161" t="s">
        <v>106</v>
      </c>
    </row>
    <row r="8" spans="2:6" customFormat="1" hidden="1" x14ac:dyDescent="0.2">
      <c r="B8" s="107" t="s">
        <v>119</v>
      </c>
      <c r="C8" s="107" t="s">
        <v>120</v>
      </c>
      <c r="D8" s="107">
        <v>2008</v>
      </c>
      <c r="E8" s="160">
        <v>454745.73397266801</v>
      </c>
      <c r="F8" s="159">
        <v>0.27782827625464301</v>
      </c>
    </row>
    <row r="9" spans="2:6" customFormat="1" hidden="1" x14ac:dyDescent="0.2">
      <c r="B9" s="107" t="s">
        <v>119</v>
      </c>
      <c r="C9" s="107" t="s">
        <v>120</v>
      </c>
      <c r="D9" s="107">
        <v>2009</v>
      </c>
      <c r="E9" s="160">
        <v>462662.80232207698</v>
      </c>
      <c r="F9" s="159">
        <v>0.28615190074006502</v>
      </c>
    </row>
    <row r="10" spans="2:6" customFormat="1" hidden="1" x14ac:dyDescent="0.2">
      <c r="B10" s="107" t="s">
        <v>119</v>
      </c>
      <c r="C10" s="107" t="s">
        <v>120</v>
      </c>
      <c r="D10" s="107">
        <v>2010</v>
      </c>
      <c r="E10" s="160">
        <v>449871.58962979598</v>
      </c>
      <c r="F10" s="159">
        <v>0.28065080276559201</v>
      </c>
    </row>
    <row r="11" spans="2:6" customFormat="1" hidden="1" x14ac:dyDescent="0.2">
      <c r="B11" s="107" t="s">
        <v>119</v>
      </c>
      <c r="C11" s="107" t="s">
        <v>120</v>
      </c>
      <c r="D11" s="107">
        <v>2011</v>
      </c>
      <c r="E11" s="160">
        <v>446977.38465294399</v>
      </c>
      <c r="F11" s="159">
        <v>0.29354281733877302</v>
      </c>
    </row>
    <row r="12" spans="2:6" customFormat="1" hidden="1" x14ac:dyDescent="0.2">
      <c r="B12" s="107" t="s">
        <v>119</v>
      </c>
      <c r="C12" s="107" t="s">
        <v>120</v>
      </c>
      <c r="D12" s="107">
        <v>2012</v>
      </c>
      <c r="E12" s="160">
        <v>428648.374995502</v>
      </c>
      <c r="F12" s="159">
        <v>0.26622730509399101</v>
      </c>
    </row>
    <row r="13" spans="2:6" customFormat="1" hidden="1" x14ac:dyDescent="0.2">
      <c r="B13" s="107" t="s">
        <v>119</v>
      </c>
      <c r="C13" s="107" t="s">
        <v>120</v>
      </c>
      <c r="D13" s="107">
        <v>2013</v>
      </c>
      <c r="E13" s="160">
        <v>447408.979547825</v>
      </c>
      <c r="F13" s="159">
        <v>0.27093111852452201</v>
      </c>
    </row>
    <row r="14" spans="2:6" customFormat="1" hidden="1" x14ac:dyDescent="0.2">
      <c r="B14" s="107" t="s">
        <v>119</v>
      </c>
      <c r="C14" s="107" t="s">
        <v>120</v>
      </c>
      <c r="D14" s="107">
        <v>2014</v>
      </c>
      <c r="E14" s="160">
        <v>436967.15379841201</v>
      </c>
      <c r="F14" s="159">
        <v>0.26710266001056399</v>
      </c>
    </row>
    <row r="15" spans="2:6" customFormat="1" hidden="1" x14ac:dyDescent="0.2">
      <c r="B15" s="107" t="s">
        <v>119</v>
      </c>
      <c r="C15" s="107" t="s">
        <v>120</v>
      </c>
      <c r="D15" s="107">
        <v>2015</v>
      </c>
      <c r="E15" s="160">
        <v>433457.598885593</v>
      </c>
      <c r="F15" s="159">
        <v>0.25856025072355399</v>
      </c>
    </row>
    <row r="16" spans="2:6" customFormat="1" hidden="1" x14ac:dyDescent="0.2">
      <c r="B16" s="107" t="s">
        <v>119</v>
      </c>
      <c r="C16" s="107" t="s">
        <v>120</v>
      </c>
      <c r="D16" s="107">
        <v>2016</v>
      </c>
      <c r="E16" s="160">
        <v>395272.27437643602</v>
      </c>
      <c r="F16" s="159">
        <v>0.241269092176957</v>
      </c>
    </row>
    <row r="17" spans="2:6" customFormat="1" hidden="1" x14ac:dyDescent="0.2">
      <c r="B17" s="107" t="s">
        <v>119</v>
      </c>
      <c r="C17" s="107" t="s">
        <v>120</v>
      </c>
      <c r="D17" s="107">
        <v>2017</v>
      </c>
      <c r="E17" s="160">
        <v>513000.39567927702</v>
      </c>
      <c r="F17" s="159">
        <v>0.30856031374639797</v>
      </c>
    </row>
    <row r="18" spans="2:6" customFormat="1" hidden="1" x14ac:dyDescent="0.2">
      <c r="B18" s="107" t="s">
        <v>119</v>
      </c>
      <c r="C18" s="107" t="s">
        <v>120</v>
      </c>
      <c r="D18" s="107">
        <v>2018</v>
      </c>
      <c r="E18" s="160">
        <v>557280.251698212</v>
      </c>
      <c r="F18" s="159">
        <v>0.31676654566696499</v>
      </c>
    </row>
    <row r="19" spans="2:6" customFormat="1" hidden="1" x14ac:dyDescent="0.2">
      <c r="B19" s="107" t="s">
        <v>119</v>
      </c>
      <c r="C19" s="107" t="s">
        <v>120</v>
      </c>
      <c r="D19" s="107">
        <v>2019</v>
      </c>
      <c r="E19" s="160">
        <v>473117.20977893798</v>
      </c>
      <c r="F19" s="159">
        <v>0.27021100634508399</v>
      </c>
    </row>
    <row r="20" spans="2:6" customFormat="1" hidden="1" x14ac:dyDescent="0.2">
      <c r="B20" s="107" t="s">
        <v>119</v>
      </c>
      <c r="C20" s="107" t="s">
        <v>120</v>
      </c>
      <c r="D20" s="107">
        <v>2020</v>
      </c>
      <c r="E20" s="160">
        <v>426310.93348012498</v>
      </c>
      <c r="F20" s="159">
        <v>0.236991405395651</v>
      </c>
    </row>
    <row r="21" spans="2:6" customFormat="1" hidden="1" x14ac:dyDescent="0.2">
      <c r="B21" s="107" t="s">
        <v>119</v>
      </c>
      <c r="C21" s="107" t="s">
        <v>120</v>
      </c>
      <c r="D21" s="107">
        <v>2021</v>
      </c>
      <c r="E21" s="160">
        <v>508247.757032272</v>
      </c>
      <c r="F21" s="159">
        <v>0.281477516868606</v>
      </c>
    </row>
    <row r="22" spans="2:6" customFormat="1" hidden="1" x14ac:dyDescent="0.2">
      <c r="B22" s="107" t="s">
        <v>119</v>
      </c>
      <c r="C22" s="107" t="s">
        <v>120</v>
      </c>
      <c r="D22" s="107">
        <v>2022</v>
      </c>
      <c r="E22" s="160">
        <v>451139.65921133</v>
      </c>
      <c r="F22" s="159">
        <v>0.24993669600876101</v>
      </c>
    </row>
    <row r="23" spans="2:6" customFormat="1" hidden="1" x14ac:dyDescent="0.2">
      <c r="B23" s="107" t="s">
        <v>119</v>
      </c>
      <c r="C23" s="107" t="s">
        <v>120</v>
      </c>
      <c r="D23" s="107">
        <v>2023</v>
      </c>
      <c r="E23" s="160">
        <v>420132.08169038501</v>
      </c>
      <c r="F23" s="159">
        <v>0.23541450287096599</v>
      </c>
    </row>
    <row r="24" spans="2:6" x14ac:dyDescent="0.2">
      <c r="B24" s="96" t="s">
        <v>119</v>
      </c>
      <c r="C24" s="96" t="s">
        <v>121</v>
      </c>
      <c r="D24" s="96">
        <v>2008</v>
      </c>
      <c r="E24" s="97">
        <v>182845.96563157201</v>
      </c>
      <c r="F24" s="102">
        <v>0.274738833355471</v>
      </c>
    </row>
    <row r="25" spans="2:6" x14ac:dyDescent="0.2">
      <c r="B25" s="96" t="s">
        <v>119</v>
      </c>
      <c r="C25" s="96" t="s">
        <v>121</v>
      </c>
      <c r="D25" s="96">
        <v>2009</v>
      </c>
      <c r="E25" s="97">
        <v>217480.18757013301</v>
      </c>
      <c r="F25" s="102">
        <v>0.31198423429182298</v>
      </c>
    </row>
    <row r="26" spans="2:6" x14ac:dyDescent="0.2">
      <c r="B26" s="96" t="s">
        <v>119</v>
      </c>
      <c r="C26" s="96" t="s">
        <v>121</v>
      </c>
      <c r="D26" s="96">
        <v>2010</v>
      </c>
      <c r="E26" s="97">
        <v>210258.66380792999</v>
      </c>
      <c r="F26" s="102">
        <v>0.26211551486860801</v>
      </c>
    </row>
    <row r="27" spans="2:6" x14ac:dyDescent="0.2">
      <c r="B27" s="96" t="s">
        <v>119</v>
      </c>
      <c r="C27" s="96" t="s">
        <v>121</v>
      </c>
      <c r="D27" s="96">
        <v>2011</v>
      </c>
      <c r="E27" s="97">
        <v>270478.41168860998</v>
      </c>
      <c r="F27" s="102">
        <v>0.335721280610491</v>
      </c>
    </row>
    <row r="28" spans="2:6" x14ac:dyDescent="0.2">
      <c r="B28" s="96" t="s">
        <v>119</v>
      </c>
      <c r="C28" s="96" t="s">
        <v>121</v>
      </c>
      <c r="D28" s="96">
        <v>2012</v>
      </c>
      <c r="E28" s="97">
        <v>278600.94208297197</v>
      </c>
      <c r="F28" s="102">
        <v>0.36334979937281298</v>
      </c>
    </row>
    <row r="29" spans="2:6" x14ac:dyDescent="0.2">
      <c r="B29" s="96" t="s">
        <v>119</v>
      </c>
      <c r="C29" s="96" t="s">
        <v>121</v>
      </c>
      <c r="D29" s="96">
        <v>2013</v>
      </c>
      <c r="E29" s="97">
        <v>311714.61229168001</v>
      </c>
      <c r="F29" s="102">
        <v>0.307339332863311</v>
      </c>
    </row>
    <row r="30" spans="2:6" x14ac:dyDescent="0.2">
      <c r="B30" s="96" t="s">
        <v>119</v>
      </c>
      <c r="C30" s="96" t="s">
        <v>121</v>
      </c>
      <c r="D30" s="96">
        <v>2014</v>
      </c>
      <c r="E30" s="97">
        <v>262925.651507014</v>
      </c>
      <c r="F30" s="102">
        <v>0.29270111025608803</v>
      </c>
    </row>
    <row r="31" spans="2:6" x14ac:dyDescent="0.2">
      <c r="B31" s="96" t="s">
        <v>119</v>
      </c>
      <c r="C31" s="96" t="s">
        <v>121</v>
      </c>
      <c r="D31" s="96">
        <v>2015</v>
      </c>
      <c r="E31" s="97">
        <v>324860.08269805298</v>
      </c>
      <c r="F31" s="102">
        <v>0.34056479676114398</v>
      </c>
    </row>
    <row r="32" spans="2:6" x14ac:dyDescent="0.2">
      <c r="B32" s="96" t="s">
        <v>119</v>
      </c>
      <c r="C32" s="96" t="s">
        <v>121</v>
      </c>
      <c r="D32" s="96">
        <v>2016</v>
      </c>
      <c r="E32" s="97">
        <v>352809.49775427702</v>
      </c>
      <c r="F32" s="102">
        <v>0.34078680886137902</v>
      </c>
    </row>
    <row r="33" spans="2:6" x14ac:dyDescent="0.2">
      <c r="B33" s="96" t="s">
        <v>119</v>
      </c>
      <c r="C33" s="96" t="s">
        <v>121</v>
      </c>
      <c r="D33" s="96">
        <v>2017</v>
      </c>
      <c r="E33" s="97">
        <v>313152.643696771</v>
      </c>
      <c r="F33" s="102">
        <v>0.314115602639504</v>
      </c>
    </row>
    <row r="34" spans="2:6" x14ac:dyDescent="0.2">
      <c r="B34" s="96" t="s">
        <v>119</v>
      </c>
      <c r="C34" s="96" t="s">
        <v>121</v>
      </c>
      <c r="D34" s="96">
        <v>2018</v>
      </c>
      <c r="E34" s="97">
        <v>350482.55907903501</v>
      </c>
      <c r="F34" s="102">
        <v>0.36502291536583997</v>
      </c>
    </row>
    <row r="35" spans="2:6" x14ac:dyDescent="0.2">
      <c r="B35" s="96" t="s">
        <v>119</v>
      </c>
      <c r="C35" s="96" t="s">
        <v>121</v>
      </c>
      <c r="D35" s="96">
        <v>2019</v>
      </c>
      <c r="E35" s="97">
        <v>361047.31111577601</v>
      </c>
      <c r="F35" s="102">
        <v>0.36332195614224699</v>
      </c>
    </row>
    <row r="36" spans="2:6" x14ac:dyDescent="0.2">
      <c r="B36" s="96" t="s">
        <v>119</v>
      </c>
      <c r="C36" s="96" t="s">
        <v>121</v>
      </c>
      <c r="D36" s="96">
        <v>2020</v>
      </c>
      <c r="E36" s="97">
        <v>343362.57341307099</v>
      </c>
      <c r="F36" s="102">
        <v>0.36158386647615698</v>
      </c>
    </row>
    <row r="37" spans="2:6" x14ac:dyDescent="0.2">
      <c r="B37" s="96" t="s">
        <v>119</v>
      </c>
      <c r="C37" s="96" t="s">
        <v>121</v>
      </c>
      <c r="D37" s="96">
        <v>2021</v>
      </c>
      <c r="E37" s="97">
        <v>325775.35652115801</v>
      </c>
      <c r="F37" s="102">
        <v>0.30211080347713098</v>
      </c>
    </row>
    <row r="38" spans="2:6" x14ac:dyDescent="0.2">
      <c r="B38" s="96" t="s">
        <v>119</v>
      </c>
      <c r="C38" s="96" t="s">
        <v>121</v>
      </c>
      <c r="D38" s="96">
        <v>2022</v>
      </c>
      <c r="E38" s="97">
        <v>294385.80523677199</v>
      </c>
      <c r="F38" s="102">
        <v>0.25771845635083102</v>
      </c>
    </row>
    <row r="39" spans="2:6" x14ac:dyDescent="0.2">
      <c r="B39" s="96" t="s">
        <v>119</v>
      </c>
      <c r="C39" s="96" t="s">
        <v>121</v>
      </c>
      <c r="D39" s="96">
        <v>2023</v>
      </c>
      <c r="E39" s="97">
        <v>367043.868880414</v>
      </c>
      <c r="F39" s="102">
        <v>0.30743821765330598</v>
      </c>
    </row>
    <row r="40" spans="2:6" customFormat="1" hidden="1" x14ac:dyDescent="0.2">
      <c r="B40" s="107" t="s">
        <v>119</v>
      </c>
      <c r="C40" s="107" t="s">
        <v>122</v>
      </c>
      <c r="D40" s="107">
        <v>2008</v>
      </c>
      <c r="E40" s="107">
        <v>331378.63822414097</v>
      </c>
      <c r="F40" s="159">
        <v>0.41982798650703801</v>
      </c>
    </row>
    <row r="41" spans="2:6" customFormat="1" hidden="1" x14ac:dyDescent="0.2">
      <c r="B41" s="107" t="s">
        <v>119</v>
      </c>
      <c r="C41" s="107" t="s">
        <v>122</v>
      </c>
      <c r="D41" s="107">
        <v>2009</v>
      </c>
      <c r="E41" s="107">
        <v>300637.251035614</v>
      </c>
      <c r="F41" s="159">
        <v>0.42298896393076801</v>
      </c>
    </row>
    <row r="42" spans="2:6" customFormat="1" hidden="1" x14ac:dyDescent="0.2">
      <c r="B42" s="107" t="s">
        <v>119</v>
      </c>
      <c r="C42" s="107" t="s">
        <v>122</v>
      </c>
      <c r="D42" s="107">
        <v>2010</v>
      </c>
      <c r="E42" s="107">
        <v>283512.10228538798</v>
      </c>
      <c r="F42" s="159">
        <v>0.37472853509182702</v>
      </c>
    </row>
    <row r="43" spans="2:6" customFormat="1" hidden="1" x14ac:dyDescent="0.2">
      <c r="B43" s="107" t="s">
        <v>119</v>
      </c>
      <c r="C43" s="107" t="s">
        <v>122</v>
      </c>
      <c r="D43" s="107">
        <v>2011</v>
      </c>
      <c r="E43" s="107">
        <v>272599.80701974302</v>
      </c>
      <c r="F43" s="159">
        <v>0.35663034692787898</v>
      </c>
    </row>
    <row r="44" spans="2:6" customFormat="1" hidden="1" x14ac:dyDescent="0.2">
      <c r="B44" s="107" t="s">
        <v>119</v>
      </c>
      <c r="C44" s="107" t="s">
        <v>122</v>
      </c>
      <c r="D44" s="107">
        <v>2012</v>
      </c>
      <c r="E44" s="107">
        <v>283268.65050506598</v>
      </c>
      <c r="F44" s="159">
        <v>0.35453713219230298</v>
      </c>
    </row>
    <row r="45" spans="2:6" customFormat="1" hidden="1" x14ac:dyDescent="0.2">
      <c r="B45" s="107" t="s">
        <v>119</v>
      </c>
      <c r="C45" s="107" t="s">
        <v>122</v>
      </c>
      <c r="D45" s="107">
        <v>2013</v>
      </c>
      <c r="E45" s="107">
        <v>303383.09837695898</v>
      </c>
      <c r="F45" s="159">
        <v>0.39725221411633499</v>
      </c>
    </row>
    <row r="46" spans="2:6" customFormat="1" hidden="1" x14ac:dyDescent="0.2">
      <c r="B46" s="107" t="s">
        <v>119</v>
      </c>
      <c r="C46" s="107" t="s">
        <v>122</v>
      </c>
      <c r="D46" s="107">
        <v>2014</v>
      </c>
      <c r="E46" s="107">
        <v>285633.43350907898</v>
      </c>
      <c r="F46" s="159">
        <v>0.371787645846065</v>
      </c>
    </row>
    <row r="47" spans="2:6" customFormat="1" hidden="1" x14ac:dyDescent="0.2">
      <c r="B47" s="107" t="s">
        <v>119</v>
      </c>
      <c r="C47" s="107" t="s">
        <v>122</v>
      </c>
      <c r="D47" s="107">
        <v>2015</v>
      </c>
      <c r="E47" s="107">
        <v>267294.941789373</v>
      </c>
      <c r="F47" s="159">
        <v>0.34969014782943703</v>
      </c>
    </row>
    <row r="48" spans="2:6" customFormat="1" hidden="1" x14ac:dyDescent="0.2">
      <c r="B48" s="107" t="s">
        <v>119</v>
      </c>
      <c r="C48" s="107" t="s">
        <v>122</v>
      </c>
      <c r="D48" s="107">
        <v>2016</v>
      </c>
      <c r="E48" s="107">
        <v>279204.26013800502</v>
      </c>
      <c r="F48" s="159">
        <v>0.36017879934579899</v>
      </c>
    </row>
    <row r="49" spans="2:6" customFormat="1" hidden="1" x14ac:dyDescent="0.2">
      <c r="B49" s="107" t="s">
        <v>119</v>
      </c>
      <c r="C49" s="107" t="s">
        <v>122</v>
      </c>
      <c r="D49" s="107">
        <v>2017</v>
      </c>
      <c r="E49" s="107">
        <v>250970.59838983399</v>
      </c>
      <c r="F49" s="159">
        <v>0.32208708989646201</v>
      </c>
    </row>
    <row r="50" spans="2:6" customFormat="1" hidden="1" x14ac:dyDescent="0.2">
      <c r="B50" s="107" t="s">
        <v>119</v>
      </c>
      <c r="C50" s="107" t="s">
        <v>122</v>
      </c>
      <c r="D50" s="107">
        <v>2018</v>
      </c>
      <c r="E50" s="107">
        <v>280010.22062222799</v>
      </c>
      <c r="F50" s="159">
        <v>0.34984863055962501</v>
      </c>
    </row>
    <row r="51" spans="2:6" customFormat="1" hidden="1" x14ac:dyDescent="0.2">
      <c r="B51" s="107" t="s">
        <v>119</v>
      </c>
      <c r="C51" s="107" t="s">
        <v>122</v>
      </c>
      <c r="D51" s="107">
        <v>2019</v>
      </c>
      <c r="E51" s="107">
        <v>274796.72556244099</v>
      </c>
      <c r="F51" s="159">
        <v>0.34997536369045001</v>
      </c>
    </row>
    <row r="52" spans="2:6" customFormat="1" hidden="1" x14ac:dyDescent="0.2">
      <c r="B52" s="107" t="s">
        <v>119</v>
      </c>
      <c r="C52" s="107" t="s">
        <v>122</v>
      </c>
      <c r="D52" s="107">
        <v>2020</v>
      </c>
      <c r="E52" s="107">
        <v>246215.683758275</v>
      </c>
      <c r="F52" s="159">
        <v>0.30861141108006601</v>
      </c>
    </row>
    <row r="53" spans="2:6" customFormat="1" hidden="1" x14ac:dyDescent="0.2">
      <c r="B53" s="107" t="s">
        <v>119</v>
      </c>
      <c r="C53" s="107" t="s">
        <v>122</v>
      </c>
      <c r="D53" s="107">
        <v>2021</v>
      </c>
      <c r="E53" s="107">
        <v>243719.65489365999</v>
      </c>
      <c r="F53" s="159">
        <v>0.30230957401937197</v>
      </c>
    </row>
    <row r="54" spans="2:6" customFormat="1" hidden="1" x14ac:dyDescent="0.2">
      <c r="B54" s="107" t="s">
        <v>119</v>
      </c>
      <c r="C54" s="107" t="s">
        <v>122</v>
      </c>
      <c r="D54" s="107">
        <v>2022</v>
      </c>
      <c r="E54" s="107">
        <v>212414.95066761601</v>
      </c>
      <c r="F54" s="159">
        <v>0.27513213989992003</v>
      </c>
    </row>
    <row r="55" spans="2:6" customFormat="1" hidden="1" x14ac:dyDescent="0.2">
      <c r="B55" s="107" t="s">
        <v>119</v>
      </c>
      <c r="C55" s="107" t="s">
        <v>122</v>
      </c>
      <c r="D55" s="107">
        <v>2023</v>
      </c>
      <c r="E55" s="107">
        <v>208785.47120465201</v>
      </c>
      <c r="F55" s="159">
        <v>0.26748594828143002</v>
      </c>
    </row>
    <row r="56" spans="2:6" x14ac:dyDescent="0.2">
      <c r="E56" s="156"/>
    </row>
  </sheetData>
  <autoFilter ref="B7:F55" xr:uid="{6E059B8E-C83E-4DBF-80A4-5D58B7BCCB9D}">
    <filterColumn colId="1">
      <filters>
        <filter val="Private rented"/>
      </filters>
    </filterColumn>
  </autoFilter>
  <hyperlinks>
    <hyperlink ref="C4" r:id="rId1" display="Citizen advice" xr:uid="{19872F35-E02F-4876-B349-06538C800DE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166D-B958-474F-902C-01D8932A43F1}">
  <sheetPr>
    <tabColor theme="5"/>
  </sheetPr>
  <dimension ref="B2:L22"/>
  <sheetViews>
    <sheetView zoomScale="78" zoomScaleNormal="85" workbookViewId="0">
      <selection activeCell="K30" sqref="K30"/>
    </sheetView>
  </sheetViews>
  <sheetFormatPr baseColWidth="10" defaultColWidth="8.85546875" defaultRowHeight="16" x14ac:dyDescent="0.2"/>
  <cols>
    <col min="1" max="2" width="8.85546875" style="52"/>
    <col min="3" max="3" width="14.28515625" style="52" customWidth="1"/>
    <col min="4" max="4" width="11.140625" style="52" customWidth="1"/>
    <col min="5" max="5" width="11" style="52" bestFit="1" customWidth="1"/>
    <col min="6" max="9" width="8.85546875" style="52"/>
    <col min="10" max="10" width="19.5703125" style="52" bestFit="1" customWidth="1"/>
    <col min="11" max="11" width="16.42578125" style="52" bestFit="1" customWidth="1"/>
    <col min="12" max="12" width="13.7109375" style="52" bestFit="1" customWidth="1"/>
    <col min="13" max="13" width="19" style="52" bestFit="1" customWidth="1"/>
    <col min="14" max="16" width="15.28515625" style="52" bestFit="1" customWidth="1"/>
    <col min="17" max="17" width="10.7109375" style="52" bestFit="1" customWidth="1"/>
    <col min="18" max="16384" width="8.85546875" style="52"/>
  </cols>
  <sheetData>
    <row r="2" spans="2:12" x14ac:dyDescent="0.2">
      <c r="B2" s="52" t="s">
        <v>1</v>
      </c>
      <c r="C2" s="52" t="s">
        <v>123</v>
      </c>
    </row>
    <row r="3" spans="2:12" x14ac:dyDescent="0.2">
      <c r="B3" s="52" t="s">
        <v>85</v>
      </c>
      <c r="C3" s="53">
        <v>46327</v>
      </c>
    </row>
    <row r="4" spans="2:12" x14ac:dyDescent="0.2">
      <c r="B4" s="52" t="s">
        <v>87</v>
      </c>
      <c r="C4" s="54" t="s">
        <v>101</v>
      </c>
    </row>
    <row r="5" spans="2:12" x14ac:dyDescent="0.2">
      <c r="B5" s="52" t="s">
        <v>89</v>
      </c>
      <c r="C5" s="52" t="s">
        <v>124</v>
      </c>
    </row>
    <row r="7" spans="2:12" x14ac:dyDescent="0.2">
      <c r="H7" s="150" t="s">
        <v>125</v>
      </c>
      <c r="I7" s="150"/>
      <c r="J7" s="150"/>
      <c r="K7" s="150"/>
      <c r="L7" s="150"/>
    </row>
    <row r="8" spans="2:12" x14ac:dyDescent="0.2">
      <c r="B8" s="93" t="s">
        <v>111</v>
      </c>
      <c r="C8" s="94" t="s">
        <v>126</v>
      </c>
      <c r="D8" s="101" t="s">
        <v>127</v>
      </c>
      <c r="E8" s="153" t="s">
        <v>128</v>
      </c>
      <c r="F8" s="94" t="s">
        <v>129</v>
      </c>
      <c r="G8" s="94" t="s">
        <v>130</v>
      </c>
      <c r="H8" s="94" t="s">
        <v>126</v>
      </c>
      <c r="I8" s="101" t="s">
        <v>127</v>
      </c>
      <c r="J8" s="94" t="s">
        <v>128</v>
      </c>
      <c r="K8" s="153" t="s">
        <v>129</v>
      </c>
      <c r="L8" s="94" t="s">
        <v>131</v>
      </c>
    </row>
    <row r="9" spans="2:12" x14ac:dyDescent="0.2">
      <c r="B9" s="91">
        <v>2012</v>
      </c>
      <c r="C9" s="92">
        <v>0.49967394789365399</v>
      </c>
      <c r="D9" s="92">
        <v>0.12952859144432399</v>
      </c>
      <c r="E9" s="92">
        <v>0.15444240218174801</v>
      </c>
      <c r="F9" s="92">
        <v>0.14205037321663699</v>
      </c>
      <c r="G9" s="92">
        <v>7.4304685263637302E-2</v>
      </c>
      <c r="H9" s="92"/>
      <c r="I9" s="154"/>
      <c r="J9" s="155"/>
      <c r="K9" s="155"/>
      <c r="L9" s="155"/>
    </row>
    <row r="10" spans="2:12" x14ac:dyDescent="0.2">
      <c r="B10" s="91">
        <v>2013</v>
      </c>
      <c r="C10" s="92">
        <v>0.54123385859437301</v>
      </c>
      <c r="D10" s="92">
        <v>0.13946892325539101</v>
      </c>
      <c r="E10" s="92">
        <v>0.109737135569324</v>
      </c>
      <c r="F10" s="92">
        <v>0.12233596589953299</v>
      </c>
      <c r="G10" s="92">
        <v>8.7224116681379193E-2</v>
      </c>
      <c r="H10" s="92"/>
      <c r="I10" s="154"/>
      <c r="J10" s="155"/>
      <c r="K10" s="155"/>
      <c r="L10" s="155"/>
    </row>
    <row r="11" spans="2:12" x14ac:dyDescent="0.2">
      <c r="B11" s="91">
        <v>2014</v>
      </c>
      <c r="C11" s="92">
        <v>0.477014609305838</v>
      </c>
      <c r="D11" s="92">
        <v>0.12970884941151301</v>
      </c>
      <c r="E11" s="92">
        <v>0.18768805968048399</v>
      </c>
      <c r="F11" s="92">
        <v>0.13755072005199601</v>
      </c>
      <c r="G11" s="92">
        <v>6.8037761550169704E-2</v>
      </c>
      <c r="H11" s="92">
        <f t="shared" ref="H11:H20" si="0">AVERAGE(C9:C11)</f>
        <v>0.50597413859795504</v>
      </c>
      <c r="I11" s="92">
        <f t="shared" ref="I11:I20" si="1">AVERAGE(D9:D11)</f>
        <v>0.13290212137040933</v>
      </c>
      <c r="J11" s="92">
        <f t="shared" ref="J11:J20" si="2">AVERAGE(E9:E11)</f>
        <v>0.15062253247718535</v>
      </c>
      <c r="K11" s="92">
        <f t="shared" ref="K11:K20" si="3">AVERAGE(F9:F11)</f>
        <v>0.133979019722722</v>
      </c>
      <c r="L11" s="92">
        <f t="shared" ref="L11:L20" si="4">AVERAGE(G9:G11)</f>
        <v>7.6522187831728747E-2</v>
      </c>
    </row>
    <row r="12" spans="2:12" x14ac:dyDescent="0.2">
      <c r="B12" s="91">
        <v>2015</v>
      </c>
      <c r="C12" s="92">
        <v>0.40995840076620998</v>
      </c>
      <c r="D12" s="92">
        <v>0.19979536807099799</v>
      </c>
      <c r="E12" s="92">
        <v>0.15752999480796301</v>
      </c>
      <c r="F12" s="92">
        <v>0.166058955554476</v>
      </c>
      <c r="G12" s="92">
        <v>6.4564700201305905E-2</v>
      </c>
      <c r="H12" s="92">
        <f t="shared" si="0"/>
        <v>0.47606895622214035</v>
      </c>
      <c r="I12" s="92">
        <f t="shared" si="1"/>
        <v>0.15632438024596731</v>
      </c>
      <c r="J12" s="92">
        <f t="shared" si="2"/>
        <v>0.151651730019257</v>
      </c>
      <c r="K12" s="92">
        <f t="shared" si="3"/>
        <v>0.14198188050200167</v>
      </c>
      <c r="L12" s="92">
        <f t="shared" si="4"/>
        <v>7.3275526144284939E-2</v>
      </c>
    </row>
    <row r="13" spans="2:12" x14ac:dyDescent="0.2">
      <c r="B13" s="91">
        <v>2016</v>
      </c>
      <c r="C13" s="92">
        <v>0.38444641925314998</v>
      </c>
      <c r="D13" s="92">
        <v>0.197390337471609</v>
      </c>
      <c r="E13" s="92">
        <v>0.18458587864675199</v>
      </c>
      <c r="F13" s="92">
        <v>0.16453374333670601</v>
      </c>
      <c r="G13" s="92">
        <v>6.9043621291782806E-2</v>
      </c>
      <c r="H13" s="92">
        <f t="shared" si="0"/>
        <v>0.42380647644173264</v>
      </c>
      <c r="I13" s="92">
        <f t="shared" si="1"/>
        <v>0.17563151831804</v>
      </c>
      <c r="J13" s="92">
        <f t="shared" si="2"/>
        <v>0.17660131104506635</v>
      </c>
      <c r="K13" s="92">
        <f t="shared" si="3"/>
        <v>0.15604780631439266</v>
      </c>
      <c r="L13" s="92">
        <f t="shared" si="4"/>
        <v>6.7215361014419481E-2</v>
      </c>
    </row>
    <row r="14" spans="2:12" x14ac:dyDescent="0.2">
      <c r="B14" s="91">
        <v>2017</v>
      </c>
      <c r="C14" s="92">
        <v>0.417401425341899</v>
      </c>
      <c r="D14" s="92">
        <v>0.17606045323192099</v>
      </c>
      <c r="E14" s="92">
        <v>0.136792891000729</v>
      </c>
      <c r="F14" s="92">
        <v>0.158781941474616</v>
      </c>
      <c r="G14" s="92">
        <v>0.110963288950835</v>
      </c>
      <c r="H14" s="92">
        <f t="shared" si="0"/>
        <v>0.40393541512041969</v>
      </c>
      <c r="I14" s="92">
        <f t="shared" si="1"/>
        <v>0.19108205292484268</v>
      </c>
      <c r="J14" s="92">
        <f t="shared" si="2"/>
        <v>0.15963625481848134</v>
      </c>
      <c r="K14" s="92">
        <f t="shared" si="3"/>
        <v>0.16312488012193269</v>
      </c>
      <c r="L14" s="92">
        <f t="shared" si="4"/>
        <v>8.1523870147974575E-2</v>
      </c>
    </row>
    <row r="15" spans="2:12" x14ac:dyDescent="0.2">
      <c r="B15" s="91">
        <v>2018</v>
      </c>
      <c r="C15" s="92">
        <v>0.41589419543466799</v>
      </c>
      <c r="D15" s="92">
        <v>0.146292017413713</v>
      </c>
      <c r="E15" s="92">
        <v>0.17168704062603099</v>
      </c>
      <c r="F15" s="92">
        <v>0.14674859556088901</v>
      </c>
      <c r="G15" s="92">
        <v>0.119378150964698</v>
      </c>
      <c r="H15" s="92">
        <f t="shared" si="0"/>
        <v>0.40591401334323901</v>
      </c>
      <c r="I15" s="92">
        <f t="shared" si="1"/>
        <v>0.17324760270574768</v>
      </c>
      <c r="J15" s="92">
        <f t="shared" si="2"/>
        <v>0.16435527009117068</v>
      </c>
      <c r="K15" s="92">
        <f t="shared" si="3"/>
        <v>0.15668809345740367</v>
      </c>
      <c r="L15" s="92">
        <f t="shared" si="4"/>
        <v>9.9795020402438595E-2</v>
      </c>
    </row>
    <row r="16" spans="2:12" x14ac:dyDescent="0.2">
      <c r="B16" s="91">
        <v>2019</v>
      </c>
      <c r="C16" s="92">
        <v>0.39050857327183902</v>
      </c>
      <c r="D16" s="92">
        <v>0.169531695010086</v>
      </c>
      <c r="E16" s="92">
        <v>0.198839217252886</v>
      </c>
      <c r="F16" s="92">
        <v>0.137837518008459</v>
      </c>
      <c r="G16" s="92">
        <v>0.10328299645673</v>
      </c>
      <c r="H16" s="92">
        <f t="shared" si="0"/>
        <v>0.40793473134946862</v>
      </c>
      <c r="I16" s="92">
        <f t="shared" si="1"/>
        <v>0.16396138855190667</v>
      </c>
      <c r="J16" s="92">
        <f t="shared" si="2"/>
        <v>0.16910638295988201</v>
      </c>
      <c r="K16" s="92">
        <f t="shared" si="3"/>
        <v>0.14778935168132135</v>
      </c>
      <c r="L16" s="92">
        <f t="shared" si="4"/>
        <v>0.11120814545742101</v>
      </c>
    </row>
    <row r="17" spans="2:12" x14ac:dyDescent="0.2">
      <c r="B17" s="91">
        <v>2020</v>
      </c>
      <c r="C17" s="92">
        <v>0.37215257966285398</v>
      </c>
      <c r="D17" s="92">
        <v>0.15889576521935</v>
      </c>
      <c r="E17" s="92">
        <v>0.199444346463612</v>
      </c>
      <c r="F17" s="92">
        <v>0.18722847729350101</v>
      </c>
      <c r="G17" s="92">
        <v>8.2278831360683397E-2</v>
      </c>
      <c r="H17" s="92">
        <f t="shared" si="0"/>
        <v>0.392851782789787</v>
      </c>
      <c r="I17" s="92">
        <f t="shared" si="1"/>
        <v>0.15823982588104968</v>
      </c>
      <c r="J17" s="92">
        <f t="shared" si="2"/>
        <v>0.18999020144750967</v>
      </c>
      <c r="K17" s="92">
        <f t="shared" si="3"/>
        <v>0.15727153028761634</v>
      </c>
      <c r="L17" s="92">
        <f t="shared" si="4"/>
        <v>0.10164665959403714</v>
      </c>
    </row>
    <row r="18" spans="2:12" x14ac:dyDescent="0.2">
      <c r="B18" s="91">
        <v>2021</v>
      </c>
      <c r="C18" s="92">
        <v>0.42856159163630297</v>
      </c>
      <c r="D18" s="92">
        <v>0.14746227705048601</v>
      </c>
      <c r="E18" s="92">
        <v>0.187126925173005</v>
      </c>
      <c r="F18" s="92">
        <v>0.11206191941190501</v>
      </c>
      <c r="G18" s="92">
        <v>0.1247872867283</v>
      </c>
      <c r="H18" s="92">
        <f t="shared" si="0"/>
        <v>0.39707424819033199</v>
      </c>
      <c r="I18" s="92">
        <f t="shared" si="1"/>
        <v>0.15862991242664068</v>
      </c>
      <c r="J18" s="92">
        <f t="shared" si="2"/>
        <v>0.19513682962983434</v>
      </c>
      <c r="K18" s="92">
        <f t="shared" si="3"/>
        <v>0.14570930490462167</v>
      </c>
      <c r="L18" s="92">
        <f t="shared" si="4"/>
        <v>0.10344970484857113</v>
      </c>
    </row>
    <row r="19" spans="2:12" x14ac:dyDescent="0.2">
      <c r="B19" s="91">
        <v>2022</v>
      </c>
      <c r="C19" s="92">
        <v>0.43154627497965298</v>
      </c>
      <c r="D19" s="92">
        <v>0.182889198375526</v>
      </c>
      <c r="E19" s="92">
        <v>0.13883047781682201</v>
      </c>
      <c r="F19" s="92">
        <v>0.13164925626486099</v>
      </c>
      <c r="G19" s="92">
        <v>0.115084792563139</v>
      </c>
      <c r="H19" s="92">
        <f t="shared" si="0"/>
        <v>0.41075348209293666</v>
      </c>
      <c r="I19" s="92">
        <f t="shared" si="1"/>
        <v>0.16308241354845399</v>
      </c>
      <c r="J19" s="92">
        <f t="shared" si="2"/>
        <v>0.17513391648447965</v>
      </c>
      <c r="K19" s="92">
        <f t="shared" si="3"/>
        <v>0.14364655099008902</v>
      </c>
      <c r="L19" s="92">
        <f t="shared" si="4"/>
        <v>0.1073836368840408</v>
      </c>
    </row>
    <row r="20" spans="2:12" x14ac:dyDescent="0.2">
      <c r="B20" s="91">
        <v>2023</v>
      </c>
      <c r="C20" s="92">
        <v>0.358119355716147</v>
      </c>
      <c r="D20" s="92">
        <v>0.198638085374128</v>
      </c>
      <c r="E20" s="92">
        <v>0.20862290906193501</v>
      </c>
      <c r="F20" s="92">
        <v>0.136031915026844</v>
      </c>
      <c r="G20" s="92">
        <v>9.8587734820946502E-2</v>
      </c>
      <c r="H20" s="92">
        <f t="shared" si="0"/>
        <v>0.40607574077736763</v>
      </c>
      <c r="I20" s="92">
        <f t="shared" si="1"/>
        <v>0.17632985360004669</v>
      </c>
      <c r="J20" s="92">
        <f t="shared" si="2"/>
        <v>0.17819343735058735</v>
      </c>
      <c r="K20" s="92">
        <f t="shared" si="3"/>
        <v>0.12658103023453668</v>
      </c>
      <c r="L20" s="92">
        <f t="shared" si="4"/>
        <v>0.11281993803746183</v>
      </c>
    </row>
    <row r="21" spans="2:12" x14ac:dyDescent="0.2">
      <c r="B21" s="89"/>
      <c r="C21" s="78"/>
      <c r="D21" s="78"/>
      <c r="E21" s="151"/>
      <c r="F21" s="88"/>
    </row>
    <row r="22" spans="2:12" x14ac:dyDescent="0.2">
      <c r="B22" s="89"/>
      <c r="C22" s="78"/>
      <c r="D22" s="78"/>
      <c r="E22" s="90"/>
      <c r="F22" s="88"/>
    </row>
  </sheetData>
  <hyperlinks>
    <hyperlink ref="C4" r:id="rId1" display="Citizen advice" xr:uid="{CACF6AFC-28FB-4E7F-8173-98733DCAE12A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88263-C65B-4B04-8DE1-BCCF6B3B0588}">
  <sheetPr filterMode="1">
    <tabColor theme="5"/>
  </sheetPr>
  <dimension ref="B2:G16"/>
  <sheetViews>
    <sheetView zoomScale="93" workbookViewId="0">
      <selection activeCell="B7" sqref="B7:G7"/>
    </sheetView>
  </sheetViews>
  <sheetFormatPr baseColWidth="10" defaultColWidth="8.85546875" defaultRowHeight="16" x14ac:dyDescent="0.2"/>
  <cols>
    <col min="1" max="3" width="8.85546875" style="83"/>
    <col min="4" max="4" width="15.85546875" style="83" customWidth="1"/>
    <col min="5" max="5" width="18.42578125" style="83" customWidth="1"/>
    <col min="6" max="6" width="15.7109375" style="83" customWidth="1"/>
    <col min="7" max="7" width="5.7109375" style="83" customWidth="1"/>
    <col min="8" max="16384" width="8.85546875" style="83"/>
  </cols>
  <sheetData>
    <row r="2" spans="2:7" x14ac:dyDescent="0.2">
      <c r="B2" s="83" t="s">
        <v>1</v>
      </c>
      <c r="C2" s="83" t="s">
        <v>133</v>
      </c>
    </row>
    <row r="3" spans="2:7" x14ac:dyDescent="0.2">
      <c r="B3" s="83" t="s">
        <v>85</v>
      </c>
      <c r="C3" s="86" t="s">
        <v>134</v>
      </c>
    </row>
    <row r="4" spans="2:7" x14ac:dyDescent="0.2">
      <c r="B4" s="83" t="s">
        <v>87</v>
      </c>
      <c r="C4" s="83" t="s">
        <v>101</v>
      </c>
    </row>
    <row r="5" spans="2:7" x14ac:dyDescent="0.2">
      <c r="B5" s="83" t="s">
        <v>89</v>
      </c>
      <c r="C5" s="83" t="s">
        <v>135</v>
      </c>
    </row>
    <row r="7" spans="2:7" x14ac:dyDescent="0.2">
      <c r="B7" s="129" t="s">
        <v>111</v>
      </c>
      <c r="C7" s="85" t="s">
        <v>136</v>
      </c>
      <c r="D7" s="130" t="s">
        <v>117</v>
      </c>
      <c r="E7" s="130" t="s">
        <v>137</v>
      </c>
      <c r="F7" s="130" t="s">
        <v>138</v>
      </c>
      <c r="G7" s="130" t="s">
        <v>106</v>
      </c>
    </row>
    <row r="8" spans="2:7" customFormat="1" hidden="1" x14ac:dyDescent="0.2">
      <c r="B8" s="99">
        <v>2017</v>
      </c>
      <c r="C8" s="107" t="s">
        <v>139</v>
      </c>
      <c r="D8" s="108" t="s">
        <v>120</v>
      </c>
      <c r="E8" s="109">
        <v>494848.33333333302</v>
      </c>
      <c r="F8" s="109">
        <v>39802.666666666701</v>
      </c>
      <c r="G8" s="100">
        <v>7.444607167417E-2</v>
      </c>
    </row>
    <row r="9" spans="2:7" x14ac:dyDescent="0.2">
      <c r="B9" s="125">
        <v>2017</v>
      </c>
      <c r="C9" s="84" t="s">
        <v>139</v>
      </c>
      <c r="D9" s="126" t="s">
        <v>121</v>
      </c>
      <c r="E9" s="127">
        <v>306255</v>
      </c>
      <c r="F9" s="127">
        <v>32902.666666666701</v>
      </c>
      <c r="G9" s="128">
        <v>9.7012893708236E-2</v>
      </c>
    </row>
    <row r="10" spans="2:7" customFormat="1" hidden="1" x14ac:dyDescent="0.2">
      <c r="B10" s="99">
        <v>2017</v>
      </c>
      <c r="C10" s="107" t="s">
        <v>139</v>
      </c>
      <c r="D10" s="108" t="s">
        <v>122</v>
      </c>
      <c r="E10" s="109">
        <v>244836.33333333299</v>
      </c>
      <c r="F10" s="109">
        <v>17800.666666666701</v>
      </c>
      <c r="G10" s="100">
        <v>6.7776690514537802E-2</v>
      </c>
    </row>
    <row r="11" spans="2:7" customFormat="1" hidden="1" x14ac:dyDescent="0.2">
      <c r="B11" s="99">
        <v>2019</v>
      </c>
      <c r="C11" s="107" t="s">
        <v>139</v>
      </c>
      <c r="D11" s="108" t="s">
        <v>120</v>
      </c>
      <c r="E11" s="109">
        <v>554929</v>
      </c>
      <c r="F11" s="109">
        <v>26329.333333333299</v>
      </c>
      <c r="G11" s="100">
        <v>4.52971283565827E-2</v>
      </c>
    </row>
    <row r="12" spans="2:7" x14ac:dyDescent="0.2">
      <c r="B12" s="125">
        <v>2019</v>
      </c>
      <c r="C12" s="84" t="s">
        <v>139</v>
      </c>
      <c r="D12" s="126" t="s">
        <v>121</v>
      </c>
      <c r="E12" s="127">
        <v>302957.66666666698</v>
      </c>
      <c r="F12" s="127">
        <v>29787.666666666701</v>
      </c>
      <c r="G12" s="128">
        <v>8.9520914893872802E-2</v>
      </c>
    </row>
    <row r="13" spans="2:7" customFormat="1" hidden="1" x14ac:dyDescent="0.2">
      <c r="B13" s="99">
        <v>2019</v>
      </c>
      <c r="C13" s="107" t="s">
        <v>139</v>
      </c>
      <c r="D13" s="108" t="s">
        <v>122</v>
      </c>
      <c r="E13" s="109">
        <v>248290.33333333299</v>
      </c>
      <c r="F13" s="109">
        <v>14976.666666666701</v>
      </c>
      <c r="G13" s="100">
        <v>5.6887747673147998E-2</v>
      </c>
    </row>
    <row r="14" spans="2:7" customFormat="1" hidden="1" x14ac:dyDescent="0.2">
      <c r="B14" s="99">
        <v>2023</v>
      </c>
      <c r="C14" s="107" t="s">
        <v>139</v>
      </c>
      <c r="D14" s="108" t="s">
        <v>120</v>
      </c>
      <c r="E14" s="109">
        <v>577119</v>
      </c>
      <c r="F14" s="109">
        <v>30608.333333333299</v>
      </c>
      <c r="G14" s="100">
        <v>5.0365240551958103E-2</v>
      </c>
    </row>
    <row r="15" spans="2:7" x14ac:dyDescent="0.2">
      <c r="B15" s="125">
        <v>2023</v>
      </c>
      <c r="C15" s="84" t="s">
        <v>139</v>
      </c>
      <c r="D15" s="126" t="s">
        <v>121</v>
      </c>
      <c r="E15" s="127">
        <v>359475.33333333302</v>
      </c>
      <c r="F15" s="127">
        <v>21068.666666666701</v>
      </c>
      <c r="G15" s="128">
        <v>5.5364600852113498E-2</v>
      </c>
    </row>
    <row r="16" spans="2:7" customFormat="1" hidden="1" x14ac:dyDescent="0.2">
      <c r="B16" s="99">
        <v>2023</v>
      </c>
      <c r="C16" s="107" t="s">
        <v>139</v>
      </c>
      <c r="D16" s="108" t="s">
        <v>122</v>
      </c>
      <c r="E16" s="109">
        <v>255562.66666666701</v>
      </c>
      <c r="F16" s="109">
        <v>12568</v>
      </c>
      <c r="G16" s="100">
        <v>4.6872669046932297E-2</v>
      </c>
    </row>
  </sheetData>
  <autoFilter ref="B7:G16" xr:uid="{CF188263-C65B-4B04-8DE1-BCCF6B3B0588}">
    <filterColumn colId="2">
      <filters>
        <filter val="Private rented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6BC86-4A69-4076-B434-36B5EE65F530}">
  <sheetPr>
    <tabColor theme="5"/>
  </sheetPr>
  <dimension ref="B2:E15"/>
  <sheetViews>
    <sheetView zoomScale="90" workbookViewId="0">
      <selection activeCell="G33" sqref="G33"/>
    </sheetView>
  </sheetViews>
  <sheetFormatPr baseColWidth="10" defaultColWidth="8.85546875" defaultRowHeight="16" x14ac:dyDescent="0.2"/>
  <cols>
    <col min="1" max="1" width="8.85546875" style="52"/>
    <col min="2" max="2" width="22" style="52" customWidth="1"/>
    <col min="3" max="3" width="11.7109375" style="52" bestFit="1" customWidth="1"/>
    <col min="4" max="4" width="11.140625" style="52" customWidth="1"/>
    <col min="5" max="16384" width="8.85546875" style="52"/>
  </cols>
  <sheetData>
    <row r="2" spans="2:5" x14ac:dyDescent="0.2">
      <c r="B2" s="52" t="s">
        <v>1</v>
      </c>
      <c r="C2" s="52" t="s">
        <v>140</v>
      </c>
    </row>
    <row r="3" spans="2:5" x14ac:dyDescent="0.2">
      <c r="B3" s="52" t="s">
        <v>85</v>
      </c>
      <c r="C3" s="53" t="s">
        <v>134</v>
      </c>
    </row>
    <row r="4" spans="2:5" x14ac:dyDescent="0.2">
      <c r="B4" s="52" t="s">
        <v>87</v>
      </c>
      <c r="C4" s="52" t="s">
        <v>101</v>
      </c>
    </row>
    <row r="5" spans="2:5" x14ac:dyDescent="0.2">
      <c r="B5" s="52" t="s">
        <v>89</v>
      </c>
      <c r="C5" s="52" t="s">
        <v>110</v>
      </c>
    </row>
    <row r="7" spans="2:5" x14ac:dyDescent="0.2">
      <c r="B7" s="95" t="s">
        <v>141</v>
      </c>
      <c r="C7" s="95" t="s">
        <v>104</v>
      </c>
      <c r="D7" s="95" t="s">
        <v>105</v>
      </c>
      <c r="E7" s="95" t="s">
        <v>106</v>
      </c>
    </row>
    <row r="8" spans="2:5" x14ac:dyDescent="0.2">
      <c r="B8" s="96" t="s">
        <v>142</v>
      </c>
      <c r="C8" s="97">
        <v>2554442.5303323702</v>
      </c>
      <c r="D8" s="96">
        <v>1065</v>
      </c>
      <c r="E8" s="102">
        <v>0.84285815833250599</v>
      </c>
    </row>
    <row r="9" spans="2:5" x14ac:dyDescent="0.2">
      <c r="B9" s="96" t="s">
        <v>143</v>
      </c>
      <c r="C9" s="97">
        <v>91223.594884189995</v>
      </c>
      <c r="D9" s="96">
        <v>44</v>
      </c>
      <c r="E9" s="102">
        <v>3.0099933847622998E-2</v>
      </c>
    </row>
    <row r="10" spans="2:5" x14ac:dyDescent="0.2">
      <c r="B10" s="96" t="s">
        <v>144</v>
      </c>
      <c r="C10" s="97">
        <v>22543.4853648553</v>
      </c>
      <c r="D10" s="96">
        <v>9</v>
      </c>
      <c r="E10" s="102">
        <v>7.4383981363422697E-3</v>
      </c>
    </row>
    <row r="11" spans="2:5" x14ac:dyDescent="0.2">
      <c r="B11" s="96" t="s">
        <v>145</v>
      </c>
      <c r="C11" s="97">
        <v>79843.712442247197</v>
      </c>
      <c r="D11" s="96">
        <v>29</v>
      </c>
      <c r="E11" s="102">
        <v>2.6345053225662701E-2</v>
      </c>
    </row>
    <row r="12" spans="2:5" x14ac:dyDescent="0.2">
      <c r="B12" s="96" t="s">
        <v>146</v>
      </c>
      <c r="C12" s="97">
        <v>7067.1993113927701</v>
      </c>
      <c r="D12" s="96">
        <v>4</v>
      </c>
      <c r="E12" s="102">
        <v>2.3318773178248901E-3</v>
      </c>
    </row>
    <row r="13" spans="2:5" x14ac:dyDescent="0.2">
      <c r="B13" s="96" t="s">
        <v>147</v>
      </c>
      <c r="C13" s="97">
        <v>275570.35379768303</v>
      </c>
      <c r="D13" s="96">
        <v>110</v>
      </c>
      <c r="E13" s="102">
        <v>9.0926579140040806E-2</v>
      </c>
    </row>
    <row r="15" spans="2:5" x14ac:dyDescent="0.2">
      <c r="B15" s="52" t="s">
        <v>148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10C48-8963-4FA5-B76E-549B61B675DB}">
  <dimension ref="B2:G39"/>
  <sheetViews>
    <sheetView zoomScale="78" workbookViewId="0">
      <selection activeCell="I55" sqref="I55"/>
    </sheetView>
  </sheetViews>
  <sheetFormatPr baseColWidth="10" defaultColWidth="8.85546875" defaultRowHeight="16" x14ac:dyDescent="0.2"/>
  <cols>
    <col min="1" max="1" width="8.85546875" style="61"/>
    <col min="2" max="2" width="20.42578125" style="61" customWidth="1"/>
    <col min="3" max="16384" width="8.85546875" style="61"/>
  </cols>
  <sheetData>
    <row r="2" spans="2:7" s="52" customFormat="1" x14ac:dyDescent="0.2">
      <c r="B2" s="52" t="s">
        <v>1</v>
      </c>
      <c r="C2" s="52" t="s">
        <v>149</v>
      </c>
    </row>
    <row r="3" spans="2:7" s="52" customFormat="1" x14ac:dyDescent="0.2">
      <c r="B3" s="52" t="s">
        <v>85</v>
      </c>
      <c r="C3" s="53" t="s">
        <v>150</v>
      </c>
    </row>
    <row r="4" spans="2:7" s="52" customFormat="1" x14ac:dyDescent="0.2">
      <c r="B4" s="52" t="s">
        <v>87</v>
      </c>
      <c r="C4" s="54" t="s">
        <v>151</v>
      </c>
    </row>
    <row r="5" spans="2:7" s="52" customFormat="1" x14ac:dyDescent="0.2">
      <c r="B5" s="52" t="s">
        <v>89</v>
      </c>
    </row>
    <row r="7" spans="2:7" ht="17" x14ac:dyDescent="0.2">
      <c r="B7" s="112" t="s">
        <v>152</v>
      </c>
      <c r="C7" s="112">
        <v>2019</v>
      </c>
      <c r="D7" s="112" t="s">
        <v>153</v>
      </c>
      <c r="E7" s="112">
        <v>2021</v>
      </c>
      <c r="F7" s="112" t="s">
        <v>154</v>
      </c>
      <c r="G7" s="112">
        <v>2023</v>
      </c>
    </row>
    <row r="8" spans="2:7" ht="17" x14ac:dyDescent="0.2">
      <c r="B8" s="110" t="s">
        <v>155</v>
      </c>
      <c r="C8" s="111">
        <v>0</v>
      </c>
      <c r="D8" s="111">
        <v>1</v>
      </c>
      <c r="E8" s="111">
        <v>0</v>
      </c>
      <c r="F8" s="111">
        <v>1</v>
      </c>
      <c r="G8" s="111">
        <v>0</v>
      </c>
    </row>
    <row r="9" spans="2:7" ht="17" x14ac:dyDescent="0.2">
      <c r="B9" s="110" t="s">
        <v>156</v>
      </c>
      <c r="C9" s="111">
        <v>2</v>
      </c>
      <c r="D9" s="111">
        <v>0</v>
      </c>
      <c r="E9" s="111">
        <v>0</v>
      </c>
      <c r="F9" s="111">
        <v>1</v>
      </c>
      <c r="G9" s="111">
        <v>1</v>
      </c>
    </row>
    <row r="10" spans="2:7" ht="17" x14ac:dyDescent="0.2">
      <c r="B10" s="110" t="s">
        <v>157</v>
      </c>
      <c r="C10" s="111">
        <v>0</v>
      </c>
      <c r="D10" s="111">
        <v>0</v>
      </c>
      <c r="E10" s="111">
        <v>1</v>
      </c>
      <c r="F10" s="111">
        <v>0</v>
      </c>
      <c r="G10" s="111">
        <v>2</v>
      </c>
    </row>
    <row r="11" spans="2:7" ht="17" x14ac:dyDescent="0.2">
      <c r="B11" s="110" t="s">
        <v>158</v>
      </c>
      <c r="C11" s="111">
        <v>0</v>
      </c>
      <c r="D11" s="111">
        <v>1</v>
      </c>
      <c r="E11" s="111">
        <v>1</v>
      </c>
      <c r="F11" s="111">
        <v>4</v>
      </c>
      <c r="G11" s="111">
        <v>0</v>
      </c>
    </row>
    <row r="12" spans="2:7" ht="17" x14ac:dyDescent="0.2">
      <c r="B12" s="110" t="s">
        <v>159</v>
      </c>
      <c r="C12" s="111">
        <v>0</v>
      </c>
      <c r="D12" s="111">
        <v>0</v>
      </c>
      <c r="E12" s="111">
        <v>1</v>
      </c>
      <c r="F12" s="111">
        <v>0</v>
      </c>
      <c r="G12" s="111">
        <v>3</v>
      </c>
    </row>
    <row r="13" spans="2:7" ht="17" x14ac:dyDescent="0.2">
      <c r="B13" s="110" t="s">
        <v>160</v>
      </c>
      <c r="C13" s="111">
        <v>0</v>
      </c>
      <c r="D13" s="111">
        <v>0</v>
      </c>
      <c r="E13" s="111">
        <v>0</v>
      </c>
      <c r="F13" s="111">
        <v>1</v>
      </c>
      <c r="G13" s="111">
        <v>0</v>
      </c>
    </row>
    <row r="14" spans="2:7" ht="17" x14ac:dyDescent="0.2">
      <c r="B14" s="110" t="s">
        <v>161</v>
      </c>
      <c r="C14" s="111">
        <v>0</v>
      </c>
      <c r="D14" s="111">
        <v>1</v>
      </c>
      <c r="E14" s="111">
        <v>0</v>
      </c>
      <c r="F14" s="111">
        <v>2</v>
      </c>
      <c r="G14" s="111">
        <v>1</v>
      </c>
    </row>
    <row r="15" spans="2:7" ht="17" x14ac:dyDescent="0.2">
      <c r="B15" s="110" t="s">
        <v>162</v>
      </c>
      <c r="C15" s="111">
        <v>2</v>
      </c>
      <c r="D15" s="111">
        <v>0</v>
      </c>
      <c r="E15" s="111">
        <v>1</v>
      </c>
      <c r="F15" s="111">
        <v>0</v>
      </c>
      <c r="G15" s="111">
        <v>3</v>
      </c>
    </row>
    <row r="16" spans="2:7" ht="17" x14ac:dyDescent="0.2">
      <c r="B16" s="110" t="s">
        <v>163</v>
      </c>
      <c r="C16" s="111">
        <v>0</v>
      </c>
      <c r="D16" s="111">
        <v>1</v>
      </c>
      <c r="E16" s="111">
        <v>0</v>
      </c>
      <c r="F16" s="111">
        <v>1</v>
      </c>
      <c r="G16" s="111">
        <v>1</v>
      </c>
    </row>
    <row r="17" spans="2:7" ht="17" x14ac:dyDescent="0.2">
      <c r="B17" s="110" t="s">
        <v>164</v>
      </c>
      <c r="C17" s="111">
        <v>0</v>
      </c>
      <c r="D17" s="111">
        <v>1</v>
      </c>
      <c r="E17" s="111">
        <v>1</v>
      </c>
      <c r="F17" s="111">
        <v>6</v>
      </c>
      <c r="G17" s="111">
        <v>2</v>
      </c>
    </row>
    <row r="18" spans="2:7" ht="17" x14ac:dyDescent="0.2">
      <c r="B18" s="110" t="s">
        <v>165</v>
      </c>
      <c r="C18" s="111">
        <v>0</v>
      </c>
      <c r="D18" s="111">
        <v>0</v>
      </c>
      <c r="E18" s="111">
        <v>1</v>
      </c>
      <c r="F18" s="111">
        <v>1</v>
      </c>
      <c r="G18" s="111">
        <v>2</v>
      </c>
    </row>
    <row r="19" spans="2:7" ht="17" x14ac:dyDescent="0.2">
      <c r="B19" s="110" t="s">
        <v>166</v>
      </c>
      <c r="C19" s="111">
        <v>0</v>
      </c>
      <c r="D19" s="111">
        <v>0</v>
      </c>
      <c r="E19" s="111">
        <v>1</v>
      </c>
      <c r="F19" s="111">
        <v>0</v>
      </c>
      <c r="G19" s="111">
        <v>1</v>
      </c>
    </row>
    <row r="20" spans="2:7" ht="17" x14ac:dyDescent="0.2">
      <c r="B20" s="110" t="s">
        <v>167</v>
      </c>
      <c r="C20" s="111">
        <v>1</v>
      </c>
      <c r="D20" s="111">
        <v>0</v>
      </c>
      <c r="E20" s="111">
        <v>2</v>
      </c>
      <c r="F20" s="111">
        <v>0</v>
      </c>
      <c r="G20" s="111">
        <v>0</v>
      </c>
    </row>
    <row r="21" spans="2:7" ht="17" x14ac:dyDescent="0.2">
      <c r="B21" s="110" t="s">
        <v>168</v>
      </c>
      <c r="C21" s="111">
        <v>1</v>
      </c>
      <c r="D21" s="111">
        <v>0</v>
      </c>
      <c r="E21" s="111">
        <v>0</v>
      </c>
      <c r="F21" s="111">
        <v>0</v>
      </c>
      <c r="G21" s="111">
        <v>2</v>
      </c>
    </row>
    <row r="22" spans="2:7" ht="17" x14ac:dyDescent="0.2">
      <c r="B22" s="110" t="s">
        <v>169</v>
      </c>
      <c r="C22" s="111">
        <v>0</v>
      </c>
      <c r="D22" s="111">
        <v>0</v>
      </c>
      <c r="E22" s="111">
        <v>0</v>
      </c>
      <c r="F22" s="111">
        <v>0</v>
      </c>
      <c r="G22" s="111">
        <v>1</v>
      </c>
    </row>
    <row r="23" spans="2:7" ht="17" x14ac:dyDescent="0.2">
      <c r="B23" s="110" t="s">
        <v>170</v>
      </c>
      <c r="C23" s="111">
        <v>0</v>
      </c>
      <c r="D23" s="111">
        <v>1</v>
      </c>
      <c r="E23" s="111">
        <v>0</v>
      </c>
      <c r="F23" s="111">
        <v>0</v>
      </c>
      <c r="G23" s="111">
        <v>0</v>
      </c>
    </row>
    <row r="24" spans="2:7" ht="17" x14ac:dyDescent="0.2">
      <c r="B24" s="110" t="s">
        <v>171</v>
      </c>
      <c r="C24" s="111">
        <v>0</v>
      </c>
      <c r="D24" s="111">
        <v>0</v>
      </c>
      <c r="E24" s="111">
        <v>1</v>
      </c>
      <c r="F24" s="111">
        <v>0</v>
      </c>
      <c r="G24" s="111">
        <v>1</v>
      </c>
    </row>
    <row r="25" spans="2:7" ht="17" x14ac:dyDescent="0.2">
      <c r="B25" s="110" t="s">
        <v>172</v>
      </c>
      <c r="C25" s="111">
        <v>1</v>
      </c>
      <c r="D25" s="111">
        <v>0</v>
      </c>
      <c r="E25" s="111">
        <v>0</v>
      </c>
      <c r="F25" s="111">
        <v>0</v>
      </c>
      <c r="G25" s="111">
        <v>2</v>
      </c>
    </row>
    <row r="26" spans="2:7" ht="17" x14ac:dyDescent="0.2">
      <c r="B26" s="110" t="s">
        <v>173</v>
      </c>
      <c r="C26" s="111">
        <v>0</v>
      </c>
      <c r="D26" s="111">
        <v>1</v>
      </c>
      <c r="E26" s="111">
        <v>0</v>
      </c>
      <c r="F26" s="111">
        <v>1</v>
      </c>
      <c r="G26" s="111">
        <v>0</v>
      </c>
    </row>
    <row r="27" spans="2:7" ht="17" x14ac:dyDescent="0.2">
      <c r="B27" s="110" t="s">
        <v>174</v>
      </c>
      <c r="C27" s="111">
        <v>0</v>
      </c>
      <c r="D27" s="111">
        <v>0</v>
      </c>
      <c r="E27" s="111">
        <v>0</v>
      </c>
      <c r="F27" s="111">
        <v>0</v>
      </c>
      <c r="G27" s="111">
        <v>1</v>
      </c>
    </row>
    <row r="28" spans="2:7" ht="17" x14ac:dyDescent="0.2">
      <c r="B28" s="110" t="s">
        <v>175</v>
      </c>
      <c r="C28" s="111">
        <v>0</v>
      </c>
      <c r="D28" s="111">
        <v>3</v>
      </c>
      <c r="E28" s="111">
        <v>1</v>
      </c>
      <c r="F28" s="111">
        <v>0</v>
      </c>
      <c r="G28" s="111">
        <v>0</v>
      </c>
    </row>
    <row r="29" spans="2:7" ht="17" x14ac:dyDescent="0.2">
      <c r="B29" s="110" t="s">
        <v>176</v>
      </c>
      <c r="C29" s="111">
        <v>0</v>
      </c>
      <c r="D29" s="111">
        <v>1</v>
      </c>
      <c r="E29" s="111">
        <v>0</v>
      </c>
      <c r="F29" s="111">
        <v>0</v>
      </c>
      <c r="G29" s="111">
        <v>2</v>
      </c>
    </row>
    <row r="30" spans="2:7" ht="17" x14ac:dyDescent="0.2">
      <c r="B30" s="110" t="s">
        <v>177</v>
      </c>
      <c r="C30" s="111">
        <v>0</v>
      </c>
      <c r="D30" s="111">
        <v>0</v>
      </c>
      <c r="E30" s="111">
        <v>0</v>
      </c>
      <c r="F30" s="111">
        <v>1</v>
      </c>
      <c r="G30" s="111">
        <v>0</v>
      </c>
    </row>
    <row r="31" spans="2:7" ht="17" x14ac:dyDescent="0.2">
      <c r="B31" s="110" t="s">
        <v>178</v>
      </c>
      <c r="C31" s="111">
        <v>0</v>
      </c>
      <c r="D31" s="111">
        <v>0</v>
      </c>
      <c r="E31" s="111">
        <v>1</v>
      </c>
      <c r="F31" s="111">
        <v>3</v>
      </c>
      <c r="G31" s="111">
        <v>0</v>
      </c>
    </row>
    <row r="32" spans="2:7" ht="17" x14ac:dyDescent="0.2">
      <c r="B32" s="110" t="s">
        <v>179</v>
      </c>
      <c r="C32" s="111">
        <v>1</v>
      </c>
      <c r="D32" s="111">
        <v>1</v>
      </c>
      <c r="E32" s="111">
        <v>0</v>
      </c>
      <c r="F32" s="111">
        <v>2</v>
      </c>
      <c r="G32" s="111">
        <v>1</v>
      </c>
    </row>
    <row r="33" spans="2:7" ht="17" x14ac:dyDescent="0.2">
      <c r="B33" s="110" t="s">
        <v>180</v>
      </c>
      <c r="C33" s="111">
        <v>0</v>
      </c>
      <c r="D33" s="111">
        <v>3</v>
      </c>
      <c r="E33" s="111">
        <v>2</v>
      </c>
      <c r="F33" s="111">
        <v>1</v>
      </c>
      <c r="G33" s="111">
        <v>1</v>
      </c>
    </row>
    <row r="34" spans="2:7" ht="17" x14ac:dyDescent="0.2">
      <c r="B34" s="110" t="s">
        <v>181</v>
      </c>
      <c r="C34" s="111">
        <v>0</v>
      </c>
      <c r="D34" s="111">
        <v>2</v>
      </c>
      <c r="E34" s="111">
        <v>0</v>
      </c>
      <c r="F34" s="111">
        <v>0</v>
      </c>
      <c r="G34" s="111">
        <v>1</v>
      </c>
    </row>
    <row r="35" spans="2:7" ht="17" x14ac:dyDescent="0.2">
      <c r="B35" s="110" t="s">
        <v>182</v>
      </c>
      <c r="C35" s="111">
        <v>0</v>
      </c>
      <c r="D35" s="111">
        <v>3</v>
      </c>
      <c r="E35" s="111">
        <v>5</v>
      </c>
      <c r="F35" s="111">
        <v>4</v>
      </c>
      <c r="G35" s="111">
        <v>5</v>
      </c>
    </row>
    <row r="36" spans="2:7" ht="17" x14ac:dyDescent="0.2">
      <c r="B36" s="110" t="s">
        <v>183</v>
      </c>
      <c r="C36" s="111">
        <v>0</v>
      </c>
      <c r="D36" s="111">
        <v>1</v>
      </c>
      <c r="E36" s="111">
        <v>1</v>
      </c>
      <c r="F36" s="111">
        <v>5</v>
      </c>
      <c r="G36" s="111">
        <v>0</v>
      </c>
    </row>
    <row r="37" spans="2:7" ht="17" x14ac:dyDescent="0.2">
      <c r="B37" s="110" t="s">
        <v>184</v>
      </c>
      <c r="C37" s="111">
        <v>1</v>
      </c>
      <c r="D37" s="111">
        <v>1</v>
      </c>
      <c r="E37" s="111">
        <v>0</v>
      </c>
      <c r="F37" s="111">
        <v>2</v>
      </c>
      <c r="G37" s="111">
        <v>2</v>
      </c>
    </row>
    <row r="38" spans="2:7" ht="17" x14ac:dyDescent="0.2">
      <c r="B38" s="110" t="s">
        <v>185</v>
      </c>
      <c r="C38" s="111">
        <v>1</v>
      </c>
      <c r="D38" s="111">
        <v>0</v>
      </c>
      <c r="E38" s="111">
        <v>0</v>
      </c>
      <c r="F38" s="111">
        <v>0</v>
      </c>
      <c r="G38" s="111">
        <v>0</v>
      </c>
    </row>
    <row r="39" spans="2:7" ht="17" x14ac:dyDescent="0.2">
      <c r="B39" s="110" t="s">
        <v>132</v>
      </c>
      <c r="C39" s="111">
        <v>10</v>
      </c>
      <c r="D39" s="111">
        <v>22</v>
      </c>
      <c r="E39" s="111">
        <v>20</v>
      </c>
      <c r="F39" s="111">
        <v>36</v>
      </c>
      <c r="G39" s="111">
        <v>35</v>
      </c>
    </row>
  </sheetData>
  <hyperlinks>
    <hyperlink ref="C4" r:id="rId1" xr:uid="{495B5E4C-8712-43FA-A274-C84A51286BE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D8B7-23F9-433B-BAD1-367E8CE64C22}">
  <sheetPr>
    <tabColor theme="5"/>
  </sheetPr>
  <dimension ref="B2:D11"/>
  <sheetViews>
    <sheetView workbookViewId="0">
      <selection activeCell="C3" sqref="C3:C5"/>
    </sheetView>
  </sheetViews>
  <sheetFormatPr baseColWidth="10" defaultColWidth="8.85546875" defaultRowHeight="16" x14ac:dyDescent="0.2"/>
  <cols>
    <col min="1" max="1" width="8.85546875" style="83"/>
    <col min="2" max="2" width="19.28515625" style="83" customWidth="1"/>
    <col min="3" max="3" width="9.28515625" style="83" customWidth="1"/>
    <col min="4" max="16384" width="8.85546875" style="83"/>
  </cols>
  <sheetData>
    <row r="2" spans="2:4" x14ac:dyDescent="0.2">
      <c r="B2" s="83" t="s">
        <v>1</v>
      </c>
      <c r="C2" s="83" t="s">
        <v>186</v>
      </c>
    </row>
    <row r="3" spans="2:4" x14ac:dyDescent="0.2">
      <c r="B3" s="83" t="s">
        <v>85</v>
      </c>
      <c r="C3" s="86" t="s">
        <v>86</v>
      </c>
    </row>
    <row r="4" spans="2:4" x14ac:dyDescent="0.2">
      <c r="B4" s="83" t="s">
        <v>87</v>
      </c>
      <c r="C4" s="83" t="s">
        <v>88</v>
      </c>
    </row>
    <row r="5" spans="2:4" x14ac:dyDescent="0.2">
      <c r="B5" s="83" t="s">
        <v>89</v>
      </c>
      <c r="C5" s="83" t="s">
        <v>187</v>
      </c>
    </row>
    <row r="7" spans="2:4" x14ac:dyDescent="0.2">
      <c r="B7" s="85" t="s">
        <v>188</v>
      </c>
      <c r="C7" s="85" t="s">
        <v>118</v>
      </c>
      <c r="D7" s="85" t="s">
        <v>93</v>
      </c>
    </row>
    <row r="8" spans="2:4" ht="34" x14ac:dyDescent="0.2">
      <c r="B8" s="113" t="s">
        <v>189</v>
      </c>
      <c r="C8" s="84">
        <v>1618</v>
      </c>
      <c r="D8" s="87">
        <v>0.90391061452513999</v>
      </c>
    </row>
    <row r="9" spans="2:4" ht="17" x14ac:dyDescent="0.2">
      <c r="B9" s="113" t="s">
        <v>190</v>
      </c>
      <c r="C9" s="84">
        <v>133</v>
      </c>
      <c r="D9" s="87">
        <v>7.4301675977653595E-2</v>
      </c>
    </row>
    <row r="10" spans="2:4" ht="68" x14ac:dyDescent="0.2">
      <c r="B10" s="113" t="s">
        <v>191</v>
      </c>
      <c r="C10" s="84">
        <v>30</v>
      </c>
      <c r="D10" s="87">
        <v>1.67597765363128E-2</v>
      </c>
    </row>
    <row r="11" spans="2:4" ht="17" x14ac:dyDescent="0.2">
      <c r="B11" s="113" t="s">
        <v>99</v>
      </c>
      <c r="C11" s="84">
        <v>9</v>
      </c>
      <c r="D11" s="87">
        <v>5.0279329608938503E-3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BFF9-F9F6-4AB7-AB55-0E1F50A7E0F9}">
  <sheetPr>
    <tabColor theme="5"/>
  </sheetPr>
  <dimension ref="B2:D11"/>
  <sheetViews>
    <sheetView workbookViewId="0">
      <selection activeCell="A2" sqref="A2:XFD5"/>
    </sheetView>
  </sheetViews>
  <sheetFormatPr baseColWidth="10" defaultColWidth="8.85546875" defaultRowHeight="16" x14ac:dyDescent="0.2"/>
  <cols>
    <col min="1" max="1" width="8.85546875" style="52"/>
    <col min="2" max="2" width="17.28515625" style="52" customWidth="1"/>
    <col min="3" max="3" width="9" style="52" bestFit="1" customWidth="1"/>
    <col min="4" max="4" width="10.5703125" style="52" bestFit="1" customWidth="1"/>
    <col min="5" max="16384" width="8.85546875" style="52"/>
  </cols>
  <sheetData>
    <row r="2" spans="2:4" x14ac:dyDescent="0.2">
      <c r="B2" s="52" t="s">
        <v>1</v>
      </c>
      <c r="C2" s="52" t="s">
        <v>192</v>
      </c>
    </row>
    <row r="3" spans="2:4" x14ac:dyDescent="0.2">
      <c r="B3" s="52" t="s">
        <v>85</v>
      </c>
      <c r="C3" s="53" t="s">
        <v>86</v>
      </c>
    </row>
    <row r="4" spans="2:4" x14ac:dyDescent="0.2">
      <c r="B4" s="52" t="s">
        <v>87</v>
      </c>
      <c r="C4" s="52" t="s">
        <v>88</v>
      </c>
    </row>
    <row r="5" spans="2:4" x14ac:dyDescent="0.2">
      <c r="B5" s="52" t="s">
        <v>89</v>
      </c>
      <c r="C5" s="52" t="s">
        <v>90</v>
      </c>
    </row>
    <row r="7" spans="2:4" x14ac:dyDescent="0.2">
      <c r="B7" s="139" t="s">
        <v>193</v>
      </c>
      <c r="C7" s="139" t="s">
        <v>118</v>
      </c>
      <c r="D7" s="139" t="s">
        <v>93</v>
      </c>
    </row>
    <row r="8" spans="2:4" x14ac:dyDescent="0.2">
      <c r="B8" s="138" t="s">
        <v>194</v>
      </c>
      <c r="C8" s="138">
        <v>760</v>
      </c>
      <c r="D8" s="140">
        <v>0.42458100558659201</v>
      </c>
    </row>
    <row r="9" spans="2:4" x14ac:dyDescent="0.2">
      <c r="B9" s="138" t="s">
        <v>195</v>
      </c>
      <c r="C9" s="138">
        <v>582</v>
      </c>
      <c r="D9" s="140">
        <v>0.32513966480446899</v>
      </c>
    </row>
    <row r="10" spans="2:4" x14ac:dyDescent="0.2">
      <c r="B10" s="138" t="s">
        <v>196</v>
      </c>
      <c r="C10" s="138">
        <v>442</v>
      </c>
      <c r="D10" s="140">
        <v>0.24692737430167599</v>
      </c>
    </row>
    <row r="11" spans="2:4" x14ac:dyDescent="0.2">
      <c r="B11" s="138" t="s">
        <v>99</v>
      </c>
      <c r="C11" s="138">
        <v>6</v>
      </c>
      <c r="D11" s="140">
        <v>3.3519553072625702E-3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D7423-A7E6-48A2-B7E4-04848015773A}">
  <sheetPr filterMode="1"/>
  <dimension ref="B2:R272"/>
  <sheetViews>
    <sheetView zoomScale="75" zoomScaleNormal="106" workbookViewId="0">
      <selection activeCell="I298" sqref="I298"/>
    </sheetView>
  </sheetViews>
  <sheetFormatPr baseColWidth="10" defaultColWidth="8.85546875" defaultRowHeight="16" x14ac:dyDescent="0.2"/>
  <cols>
    <col min="1" max="1" width="8.85546875" style="83"/>
    <col min="2" max="2" width="27.42578125" style="83" customWidth="1"/>
    <col min="3" max="3" width="33.28515625" style="83" customWidth="1"/>
    <col min="4" max="18" width="10.85546875" style="83" bestFit="1" customWidth="1"/>
    <col min="19" max="16384" width="8.85546875" style="83"/>
  </cols>
  <sheetData>
    <row r="2" spans="2:18" x14ac:dyDescent="0.2">
      <c r="B2" s="83" t="s">
        <v>1</v>
      </c>
      <c r="C2" s="83" t="s">
        <v>197</v>
      </c>
    </row>
    <row r="3" spans="2:18" x14ac:dyDescent="0.2">
      <c r="B3" s="83" t="s">
        <v>85</v>
      </c>
      <c r="C3" s="83" t="s">
        <v>198</v>
      </c>
    </row>
    <row r="4" spans="2:18" x14ac:dyDescent="0.2">
      <c r="B4" s="83" t="s">
        <v>87</v>
      </c>
      <c r="C4" s="82" t="s">
        <v>199</v>
      </c>
    </row>
    <row r="5" spans="2:18" x14ac:dyDescent="0.2">
      <c r="B5" s="83" t="s">
        <v>89</v>
      </c>
      <c r="C5" s="83" t="s">
        <v>110</v>
      </c>
    </row>
    <row r="7" spans="2:18" x14ac:dyDescent="0.2">
      <c r="B7" s="85" t="s">
        <v>200</v>
      </c>
      <c r="C7" s="85" t="s">
        <v>201</v>
      </c>
      <c r="D7" s="172">
        <v>45658</v>
      </c>
      <c r="E7" s="172">
        <v>45689</v>
      </c>
      <c r="F7" s="172">
        <v>45717</v>
      </c>
      <c r="G7" s="172">
        <v>45748</v>
      </c>
      <c r="H7" s="172">
        <v>45778</v>
      </c>
      <c r="I7" s="172">
        <v>45809</v>
      </c>
      <c r="J7" s="172">
        <v>45839</v>
      </c>
      <c r="K7" s="172">
        <v>45870</v>
      </c>
      <c r="L7" s="172">
        <v>45901</v>
      </c>
      <c r="M7" s="172">
        <v>45931</v>
      </c>
      <c r="N7" s="172">
        <v>45962</v>
      </c>
      <c r="O7" s="172">
        <v>45992</v>
      </c>
      <c r="P7" s="173">
        <v>46023</v>
      </c>
      <c r="Q7" s="173">
        <v>46054</v>
      </c>
      <c r="R7" s="173">
        <v>46082</v>
      </c>
    </row>
    <row r="8" spans="2:18" hidden="1" x14ac:dyDescent="0.2">
      <c r="B8" s="84" t="s">
        <v>202</v>
      </c>
      <c r="C8" s="84" t="s">
        <v>203</v>
      </c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</row>
    <row r="9" spans="2:18" hidden="1" x14ac:dyDescent="0.2">
      <c r="B9" s="84" t="s">
        <v>202</v>
      </c>
      <c r="C9" s="84" t="s">
        <v>204</v>
      </c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</row>
    <row r="10" spans="2:18" hidden="1" x14ac:dyDescent="0.2">
      <c r="B10" s="84" t="s">
        <v>202</v>
      </c>
      <c r="C10" s="84" t="s">
        <v>205</v>
      </c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</row>
    <row r="11" spans="2:18" hidden="1" x14ac:dyDescent="0.2">
      <c r="B11" s="84" t="s">
        <v>202</v>
      </c>
      <c r="C11" s="84" t="s">
        <v>206</v>
      </c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</row>
    <row r="12" spans="2:18" hidden="1" x14ac:dyDescent="0.2">
      <c r="B12" s="84" t="s">
        <v>202</v>
      </c>
      <c r="C12" s="84" t="s">
        <v>207</v>
      </c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</row>
    <row r="13" spans="2:18" hidden="1" x14ac:dyDescent="0.2">
      <c r="B13" s="84" t="s">
        <v>202</v>
      </c>
      <c r="C13" s="84" t="s">
        <v>208</v>
      </c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</row>
    <row r="14" spans="2:18" hidden="1" x14ac:dyDescent="0.2">
      <c r="B14" s="84" t="s">
        <v>202</v>
      </c>
      <c r="C14" s="84" t="s">
        <v>209</v>
      </c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</row>
    <row r="15" spans="2:18" hidden="1" x14ac:dyDescent="0.2">
      <c r="B15" s="84" t="s">
        <v>202</v>
      </c>
      <c r="C15" s="84" t="s">
        <v>210</v>
      </c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</row>
    <row r="16" spans="2:18" hidden="1" x14ac:dyDescent="0.2">
      <c r="B16" s="84" t="s">
        <v>202</v>
      </c>
      <c r="C16" s="84" t="s">
        <v>211</v>
      </c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</row>
    <row r="17" spans="2:15" hidden="1" x14ac:dyDescent="0.2">
      <c r="B17" s="84" t="s">
        <v>202</v>
      </c>
      <c r="C17" s="84" t="s">
        <v>212</v>
      </c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2:15" hidden="1" x14ac:dyDescent="0.2">
      <c r="B18" s="84" t="s">
        <v>202</v>
      </c>
      <c r="C18" s="84" t="s">
        <v>213</v>
      </c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</row>
    <row r="19" spans="2:15" hidden="1" x14ac:dyDescent="0.2">
      <c r="B19" s="84" t="s">
        <v>214</v>
      </c>
      <c r="C19" s="84" t="s">
        <v>215</v>
      </c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2:15" hidden="1" x14ac:dyDescent="0.2">
      <c r="B20" s="84" t="s">
        <v>214</v>
      </c>
      <c r="C20" s="84" t="s">
        <v>216</v>
      </c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</row>
    <row r="21" spans="2:15" hidden="1" x14ac:dyDescent="0.2">
      <c r="B21" s="84" t="s">
        <v>214</v>
      </c>
      <c r="C21" s="84" t="s">
        <v>217</v>
      </c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</row>
    <row r="22" spans="2:15" hidden="1" x14ac:dyDescent="0.2">
      <c r="B22" s="84" t="s">
        <v>214</v>
      </c>
      <c r="C22" s="84" t="s">
        <v>218</v>
      </c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</row>
    <row r="23" spans="2:15" hidden="1" x14ac:dyDescent="0.2">
      <c r="B23" s="84" t="s">
        <v>214</v>
      </c>
      <c r="C23" s="84" t="s">
        <v>219</v>
      </c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</row>
    <row r="24" spans="2:15" hidden="1" x14ac:dyDescent="0.2">
      <c r="B24" s="84" t="s">
        <v>214</v>
      </c>
      <c r="C24" s="84" t="s">
        <v>220</v>
      </c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</row>
    <row r="25" spans="2:15" hidden="1" x14ac:dyDescent="0.2">
      <c r="B25" s="84" t="s">
        <v>214</v>
      </c>
      <c r="C25" s="84" t="s">
        <v>221</v>
      </c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</row>
    <row r="26" spans="2:15" hidden="1" x14ac:dyDescent="0.2">
      <c r="B26" s="84" t="s">
        <v>214</v>
      </c>
      <c r="C26" s="84" t="s">
        <v>222</v>
      </c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2:15" hidden="1" x14ac:dyDescent="0.2">
      <c r="B27" s="84" t="s">
        <v>214</v>
      </c>
      <c r="C27" s="84" t="s">
        <v>223</v>
      </c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</row>
    <row r="28" spans="2:15" hidden="1" x14ac:dyDescent="0.2">
      <c r="B28" s="84" t="s">
        <v>214</v>
      </c>
      <c r="C28" s="84" t="s">
        <v>224</v>
      </c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</row>
    <row r="29" spans="2:15" hidden="1" x14ac:dyDescent="0.2">
      <c r="B29" s="84" t="s">
        <v>214</v>
      </c>
      <c r="C29" s="84" t="s">
        <v>225</v>
      </c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</row>
    <row r="30" spans="2:15" hidden="1" x14ac:dyDescent="0.2">
      <c r="B30" s="84" t="s">
        <v>214</v>
      </c>
      <c r="C30" s="84" t="s">
        <v>211</v>
      </c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</row>
    <row r="31" spans="2:15" hidden="1" x14ac:dyDescent="0.2">
      <c r="B31" s="84" t="s">
        <v>214</v>
      </c>
      <c r="C31" s="84" t="s">
        <v>226</v>
      </c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</row>
    <row r="32" spans="2:15" hidden="1" x14ac:dyDescent="0.2">
      <c r="B32" s="84" t="s">
        <v>214</v>
      </c>
      <c r="C32" s="84" t="s">
        <v>227</v>
      </c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</row>
    <row r="33" spans="2:15" hidden="1" x14ac:dyDescent="0.2">
      <c r="B33" s="84" t="s">
        <v>214</v>
      </c>
      <c r="C33" s="84" t="s">
        <v>228</v>
      </c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</row>
    <row r="34" spans="2:15" hidden="1" x14ac:dyDescent="0.2">
      <c r="B34" s="84" t="s">
        <v>214</v>
      </c>
      <c r="C34" s="84" t="s">
        <v>229</v>
      </c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</row>
    <row r="35" spans="2:15" hidden="1" x14ac:dyDescent="0.2">
      <c r="B35" s="84" t="s">
        <v>214</v>
      </c>
      <c r="C35" s="84" t="s">
        <v>230</v>
      </c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</row>
    <row r="36" spans="2:15" hidden="1" x14ac:dyDescent="0.2">
      <c r="B36" s="84" t="s">
        <v>214</v>
      </c>
      <c r="C36" s="84" t="s">
        <v>231</v>
      </c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</row>
    <row r="37" spans="2:15" hidden="1" x14ac:dyDescent="0.2">
      <c r="B37" s="84" t="s">
        <v>214</v>
      </c>
      <c r="C37" s="84" t="s">
        <v>232</v>
      </c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</row>
    <row r="38" spans="2:15" hidden="1" x14ac:dyDescent="0.2">
      <c r="B38" s="84" t="s">
        <v>214</v>
      </c>
      <c r="C38" s="84" t="s">
        <v>233</v>
      </c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</row>
    <row r="39" spans="2:15" hidden="1" x14ac:dyDescent="0.2">
      <c r="B39" s="84" t="s">
        <v>214</v>
      </c>
      <c r="C39" s="84" t="s">
        <v>234</v>
      </c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</row>
    <row r="40" spans="2:15" hidden="1" x14ac:dyDescent="0.2">
      <c r="B40" s="84" t="s">
        <v>214</v>
      </c>
      <c r="C40" s="84" t="s">
        <v>235</v>
      </c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</row>
    <row r="41" spans="2:15" hidden="1" x14ac:dyDescent="0.2">
      <c r="B41" s="84" t="s">
        <v>214</v>
      </c>
      <c r="C41" s="84" t="s">
        <v>236</v>
      </c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</row>
    <row r="42" spans="2:15" hidden="1" x14ac:dyDescent="0.2">
      <c r="B42" s="84" t="s">
        <v>214</v>
      </c>
      <c r="C42" s="84" t="s">
        <v>237</v>
      </c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</row>
    <row r="43" spans="2:15" hidden="1" x14ac:dyDescent="0.2">
      <c r="B43" s="84" t="s">
        <v>214</v>
      </c>
      <c r="C43" s="84" t="s">
        <v>238</v>
      </c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</row>
    <row r="44" spans="2:15" hidden="1" x14ac:dyDescent="0.2">
      <c r="B44" s="84" t="s">
        <v>239</v>
      </c>
      <c r="C44" s="84" t="s">
        <v>215</v>
      </c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</row>
    <row r="45" spans="2:15" hidden="1" x14ac:dyDescent="0.2">
      <c r="B45" s="84" t="s">
        <v>239</v>
      </c>
      <c r="C45" s="84" t="s">
        <v>216</v>
      </c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</row>
    <row r="46" spans="2:15" hidden="1" x14ac:dyDescent="0.2">
      <c r="B46" s="84" t="s">
        <v>239</v>
      </c>
      <c r="C46" s="84" t="s">
        <v>217</v>
      </c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</row>
    <row r="47" spans="2:15" hidden="1" x14ac:dyDescent="0.2">
      <c r="B47" s="84" t="s">
        <v>239</v>
      </c>
      <c r="C47" s="84" t="s">
        <v>218</v>
      </c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</row>
    <row r="48" spans="2:15" hidden="1" x14ac:dyDescent="0.2">
      <c r="B48" s="84" t="s">
        <v>239</v>
      </c>
      <c r="C48" s="84" t="s">
        <v>219</v>
      </c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</row>
    <row r="49" spans="2:15" hidden="1" x14ac:dyDescent="0.2">
      <c r="B49" s="84" t="s">
        <v>239</v>
      </c>
      <c r="C49" s="84" t="s">
        <v>220</v>
      </c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</row>
    <row r="50" spans="2:15" hidden="1" x14ac:dyDescent="0.2">
      <c r="B50" s="84" t="s">
        <v>239</v>
      </c>
      <c r="C50" s="84" t="s">
        <v>221</v>
      </c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</row>
    <row r="51" spans="2:15" hidden="1" x14ac:dyDescent="0.2">
      <c r="B51" s="84" t="s">
        <v>239</v>
      </c>
      <c r="C51" s="84" t="s">
        <v>222</v>
      </c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</row>
    <row r="52" spans="2:15" hidden="1" x14ac:dyDescent="0.2">
      <c r="B52" s="84" t="s">
        <v>239</v>
      </c>
      <c r="C52" s="84" t="s">
        <v>223</v>
      </c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</row>
    <row r="53" spans="2:15" hidden="1" x14ac:dyDescent="0.2">
      <c r="B53" s="84" t="s">
        <v>239</v>
      </c>
      <c r="C53" s="84" t="s">
        <v>224</v>
      </c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</row>
    <row r="54" spans="2:15" hidden="1" x14ac:dyDescent="0.2">
      <c r="B54" s="84" t="s">
        <v>239</v>
      </c>
      <c r="C54" s="84" t="s">
        <v>225</v>
      </c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</row>
    <row r="55" spans="2:15" hidden="1" x14ac:dyDescent="0.2">
      <c r="B55" s="84" t="s">
        <v>239</v>
      </c>
      <c r="C55" s="84" t="s">
        <v>211</v>
      </c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</row>
    <row r="56" spans="2:15" hidden="1" x14ac:dyDescent="0.2">
      <c r="B56" s="84" t="s">
        <v>239</v>
      </c>
      <c r="C56" s="84" t="s">
        <v>228</v>
      </c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</row>
    <row r="57" spans="2:15" hidden="1" x14ac:dyDescent="0.2">
      <c r="B57" s="84" t="s">
        <v>239</v>
      </c>
      <c r="C57" s="84" t="s">
        <v>240</v>
      </c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</row>
    <row r="58" spans="2:15" hidden="1" x14ac:dyDescent="0.2">
      <c r="B58" s="84" t="s">
        <v>239</v>
      </c>
      <c r="C58" s="84" t="s">
        <v>231</v>
      </c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</row>
    <row r="59" spans="2:15" hidden="1" x14ac:dyDescent="0.2">
      <c r="B59" s="84" t="s">
        <v>239</v>
      </c>
      <c r="C59" s="84" t="s">
        <v>232</v>
      </c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</row>
    <row r="60" spans="2:15" hidden="1" x14ac:dyDescent="0.2">
      <c r="B60" s="84" t="s">
        <v>239</v>
      </c>
      <c r="C60" s="84" t="s">
        <v>233</v>
      </c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</row>
    <row r="61" spans="2:15" hidden="1" x14ac:dyDescent="0.2">
      <c r="B61" s="84" t="s">
        <v>239</v>
      </c>
      <c r="C61" s="84" t="s">
        <v>235</v>
      </c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</row>
    <row r="62" spans="2:15" hidden="1" x14ac:dyDescent="0.2">
      <c r="B62" s="84" t="s">
        <v>239</v>
      </c>
      <c r="C62" s="84" t="s">
        <v>238</v>
      </c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</row>
    <row r="63" spans="2:15" hidden="1" x14ac:dyDescent="0.2">
      <c r="B63" s="84" t="s">
        <v>241</v>
      </c>
      <c r="C63" s="84" t="s">
        <v>242</v>
      </c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</row>
    <row r="64" spans="2:15" hidden="1" x14ac:dyDescent="0.2">
      <c r="B64" s="84" t="s">
        <v>241</v>
      </c>
      <c r="C64" s="84" t="s">
        <v>243</v>
      </c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</row>
    <row r="65" spans="2:15" hidden="1" x14ac:dyDescent="0.2">
      <c r="B65" s="84" t="s">
        <v>241</v>
      </c>
      <c r="C65" s="84" t="s">
        <v>244</v>
      </c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</row>
    <row r="66" spans="2:15" hidden="1" x14ac:dyDescent="0.2">
      <c r="B66" s="84" t="s">
        <v>241</v>
      </c>
      <c r="C66" s="84" t="s">
        <v>245</v>
      </c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</row>
    <row r="67" spans="2:15" hidden="1" x14ac:dyDescent="0.2">
      <c r="B67" s="84" t="s">
        <v>241</v>
      </c>
      <c r="C67" s="84" t="s">
        <v>246</v>
      </c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</row>
    <row r="68" spans="2:15" hidden="1" x14ac:dyDescent="0.2">
      <c r="B68" s="84" t="s">
        <v>241</v>
      </c>
      <c r="C68" s="84" t="s">
        <v>247</v>
      </c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</row>
    <row r="69" spans="2:15" hidden="1" x14ac:dyDescent="0.2">
      <c r="B69" s="84" t="s">
        <v>241</v>
      </c>
      <c r="C69" s="84" t="s">
        <v>248</v>
      </c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</row>
    <row r="70" spans="2:15" hidden="1" x14ac:dyDescent="0.2">
      <c r="B70" s="84" t="s">
        <v>241</v>
      </c>
      <c r="C70" s="84" t="s">
        <v>249</v>
      </c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</row>
    <row r="71" spans="2:15" hidden="1" x14ac:dyDescent="0.2">
      <c r="B71" s="84" t="s">
        <v>241</v>
      </c>
      <c r="C71" s="84" t="s">
        <v>250</v>
      </c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</row>
    <row r="72" spans="2:15" hidden="1" x14ac:dyDescent="0.2">
      <c r="B72" s="84" t="s">
        <v>241</v>
      </c>
      <c r="C72" s="84" t="s">
        <v>251</v>
      </c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</row>
    <row r="73" spans="2:15" hidden="1" x14ac:dyDescent="0.2">
      <c r="B73" s="84" t="s">
        <v>241</v>
      </c>
      <c r="C73" s="84" t="s">
        <v>252</v>
      </c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</row>
    <row r="74" spans="2:15" hidden="1" x14ac:dyDescent="0.2">
      <c r="B74" s="84" t="s">
        <v>241</v>
      </c>
      <c r="C74" s="84" t="s">
        <v>253</v>
      </c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</row>
    <row r="75" spans="2:15" hidden="1" x14ac:dyDescent="0.2">
      <c r="B75" s="84" t="s">
        <v>241</v>
      </c>
      <c r="C75" s="84" t="s">
        <v>254</v>
      </c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</row>
    <row r="76" spans="2:15" hidden="1" x14ac:dyDescent="0.2">
      <c r="B76" s="84" t="s">
        <v>241</v>
      </c>
      <c r="C76" s="84" t="s">
        <v>255</v>
      </c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</row>
    <row r="77" spans="2:15" hidden="1" x14ac:dyDescent="0.2">
      <c r="B77" s="84" t="s">
        <v>241</v>
      </c>
      <c r="C77" s="84" t="s">
        <v>211</v>
      </c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</row>
    <row r="78" spans="2:15" hidden="1" x14ac:dyDescent="0.2">
      <c r="B78" s="84" t="s">
        <v>241</v>
      </c>
      <c r="C78" s="84" t="s">
        <v>256</v>
      </c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</row>
    <row r="79" spans="2:15" hidden="1" x14ac:dyDescent="0.2">
      <c r="B79" s="84" t="s">
        <v>241</v>
      </c>
      <c r="C79" s="84" t="s">
        <v>257</v>
      </c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</row>
    <row r="80" spans="2:15" hidden="1" x14ac:dyDescent="0.2">
      <c r="B80" s="84" t="s">
        <v>241</v>
      </c>
      <c r="C80" s="84" t="s">
        <v>238</v>
      </c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</row>
    <row r="81" spans="2:15" hidden="1" x14ac:dyDescent="0.2">
      <c r="B81" s="84" t="s">
        <v>258</v>
      </c>
      <c r="C81" s="84" t="s">
        <v>259</v>
      </c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</row>
    <row r="82" spans="2:15" hidden="1" x14ac:dyDescent="0.2">
      <c r="B82" s="84" t="s">
        <v>258</v>
      </c>
      <c r="C82" s="84" t="s">
        <v>260</v>
      </c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</row>
    <row r="83" spans="2:15" hidden="1" x14ac:dyDescent="0.2">
      <c r="B83" s="84" t="s">
        <v>258</v>
      </c>
      <c r="C83" s="84" t="s">
        <v>261</v>
      </c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</row>
    <row r="84" spans="2:15" hidden="1" x14ac:dyDescent="0.2">
      <c r="B84" s="84" t="s">
        <v>258</v>
      </c>
      <c r="C84" s="84" t="s">
        <v>262</v>
      </c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</row>
    <row r="85" spans="2:15" hidden="1" x14ac:dyDescent="0.2">
      <c r="B85" s="84" t="s">
        <v>258</v>
      </c>
      <c r="C85" s="84" t="s">
        <v>263</v>
      </c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</row>
    <row r="86" spans="2:15" hidden="1" x14ac:dyDescent="0.2">
      <c r="B86" s="84" t="s">
        <v>258</v>
      </c>
      <c r="C86" s="84" t="s">
        <v>264</v>
      </c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</row>
    <row r="87" spans="2:15" hidden="1" x14ac:dyDescent="0.2">
      <c r="B87" s="84" t="s">
        <v>258</v>
      </c>
      <c r="C87" s="84" t="s">
        <v>265</v>
      </c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</row>
    <row r="88" spans="2:15" hidden="1" x14ac:dyDescent="0.2">
      <c r="B88" s="84" t="s">
        <v>258</v>
      </c>
      <c r="C88" s="84" t="s">
        <v>266</v>
      </c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</row>
    <row r="89" spans="2:15" hidden="1" x14ac:dyDescent="0.2">
      <c r="B89" s="84" t="s">
        <v>258</v>
      </c>
      <c r="C89" s="84" t="s">
        <v>267</v>
      </c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</row>
    <row r="90" spans="2:15" hidden="1" x14ac:dyDescent="0.2">
      <c r="B90" s="84" t="s">
        <v>258</v>
      </c>
      <c r="C90" s="84" t="s">
        <v>268</v>
      </c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</row>
    <row r="91" spans="2:15" hidden="1" x14ac:dyDescent="0.2">
      <c r="B91" s="84" t="s">
        <v>258</v>
      </c>
      <c r="C91" s="84" t="s">
        <v>269</v>
      </c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</row>
    <row r="92" spans="2:15" hidden="1" x14ac:dyDescent="0.2">
      <c r="B92" s="84" t="s">
        <v>258</v>
      </c>
      <c r="C92" s="84" t="s">
        <v>270</v>
      </c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</row>
    <row r="93" spans="2:15" hidden="1" x14ac:dyDescent="0.2">
      <c r="B93" s="84" t="s">
        <v>258</v>
      </c>
      <c r="C93" s="84" t="s">
        <v>211</v>
      </c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</row>
    <row r="94" spans="2:15" hidden="1" x14ac:dyDescent="0.2">
      <c r="B94" s="84" t="s">
        <v>258</v>
      </c>
      <c r="C94" s="84" t="s">
        <v>271</v>
      </c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</row>
    <row r="95" spans="2:15" hidden="1" x14ac:dyDescent="0.2">
      <c r="B95" s="84" t="s">
        <v>258</v>
      </c>
      <c r="C95" s="84" t="s">
        <v>238</v>
      </c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</row>
    <row r="96" spans="2:15" hidden="1" x14ac:dyDescent="0.2">
      <c r="B96" s="84" t="s">
        <v>272</v>
      </c>
      <c r="C96" s="84" t="s">
        <v>273</v>
      </c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</row>
    <row r="97" spans="2:15" hidden="1" x14ac:dyDescent="0.2">
      <c r="B97" s="84" t="s">
        <v>272</v>
      </c>
      <c r="C97" s="84" t="s">
        <v>274</v>
      </c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</row>
    <row r="98" spans="2:15" hidden="1" x14ac:dyDescent="0.2">
      <c r="B98" s="84" t="s">
        <v>272</v>
      </c>
      <c r="C98" s="84" t="s">
        <v>275</v>
      </c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</row>
    <row r="99" spans="2:15" hidden="1" x14ac:dyDescent="0.2">
      <c r="B99" s="84" t="s">
        <v>272</v>
      </c>
      <c r="C99" s="84" t="s">
        <v>276</v>
      </c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</row>
    <row r="100" spans="2:15" hidden="1" x14ac:dyDescent="0.2">
      <c r="B100" s="84" t="s">
        <v>272</v>
      </c>
      <c r="C100" s="84" t="s">
        <v>277</v>
      </c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</row>
    <row r="101" spans="2:15" hidden="1" x14ac:dyDescent="0.2">
      <c r="B101" s="84" t="s">
        <v>272</v>
      </c>
      <c r="C101" s="84" t="s">
        <v>278</v>
      </c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</row>
    <row r="102" spans="2:15" hidden="1" x14ac:dyDescent="0.2">
      <c r="B102" s="84" t="s">
        <v>272</v>
      </c>
      <c r="C102" s="84" t="s">
        <v>279</v>
      </c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</row>
    <row r="103" spans="2:15" hidden="1" x14ac:dyDescent="0.2">
      <c r="B103" s="84" t="s">
        <v>272</v>
      </c>
      <c r="C103" s="84" t="s">
        <v>280</v>
      </c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</row>
    <row r="104" spans="2:15" hidden="1" x14ac:dyDescent="0.2">
      <c r="B104" s="84" t="s">
        <v>272</v>
      </c>
      <c r="C104" s="84" t="s">
        <v>280</v>
      </c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</row>
    <row r="105" spans="2:15" hidden="1" x14ac:dyDescent="0.2">
      <c r="B105" s="84" t="s">
        <v>272</v>
      </c>
      <c r="C105" s="84" t="s">
        <v>281</v>
      </c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</row>
    <row r="106" spans="2:15" hidden="1" x14ac:dyDescent="0.2">
      <c r="B106" s="84" t="s">
        <v>272</v>
      </c>
      <c r="C106" s="84" t="s">
        <v>282</v>
      </c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</row>
    <row r="107" spans="2:15" hidden="1" x14ac:dyDescent="0.2">
      <c r="B107" s="84" t="s">
        <v>272</v>
      </c>
      <c r="C107" s="84" t="s">
        <v>244</v>
      </c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</row>
    <row r="108" spans="2:15" hidden="1" x14ac:dyDescent="0.2">
      <c r="B108" s="84" t="s">
        <v>272</v>
      </c>
      <c r="C108" s="84" t="s">
        <v>283</v>
      </c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</row>
    <row r="109" spans="2:15" hidden="1" x14ac:dyDescent="0.2">
      <c r="B109" s="84" t="s">
        <v>272</v>
      </c>
      <c r="C109" s="84" t="s">
        <v>284</v>
      </c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</row>
    <row r="110" spans="2:15" hidden="1" x14ac:dyDescent="0.2">
      <c r="B110" s="84" t="s">
        <v>272</v>
      </c>
      <c r="C110" s="84" t="s">
        <v>285</v>
      </c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</row>
    <row r="111" spans="2:15" hidden="1" x14ac:dyDescent="0.2">
      <c r="B111" s="84" t="s">
        <v>272</v>
      </c>
      <c r="C111" s="84" t="s">
        <v>286</v>
      </c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</row>
    <row r="112" spans="2:15" hidden="1" x14ac:dyDescent="0.2">
      <c r="B112" s="84" t="s">
        <v>272</v>
      </c>
      <c r="C112" s="84" t="s">
        <v>287</v>
      </c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</row>
    <row r="113" spans="2:15" hidden="1" x14ac:dyDescent="0.2">
      <c r="B113" s="84" t="s">
        <v>272</v>
      </c>
      <c r="C113" s="84" t="s">
        <v>288</v>
      </c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</row>
    <row r="114" spans="2:15" hidden="1" x14ac:dyDescent="0.2">
      <c r="B114" s="84" t="s">
        <v>272</v>
      </c>
      <c r="C114" s="84" t="s">
        <v>289</v>
      </c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</row>
    <row r="115" spans="2:15" hidden="1" x14ac:dyDescent="0.2">
      <c r="B115" s="84" t="s">
        <v>272</v>
      </c>
      <c r="C115" s="84" t="s">
        <v>248</v>
      </c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</row>
    <row r="116" spans="2:15" hidden="1" x14ac:dyDescent="0.2">
      <c r="B116" s="84" t="s">
        <v>272</v>
      </c>
      <c r="C116" s="84" t="s">
        <v>290</v>
      </c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</row>
    <row r="117" spans="2:15" hidden="1" x14ac:dyDescent="0.2">
      <c r="B117" s="84" t="s">
        <v>272</v>
      </c>
      <c r="C117" s="84" t="s">
        <v>291</v>
      </c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</row>
    <row r="118" spans="2:15" hidden="1" x14ac:dyDescent="0.2">
      <c r="B118" s="84" t="s">
        <v>272</v>
      </c>
      <c r="C118" s="84" t="s">
        <v>292</v>
      </c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</row>
    <row r="119" spans="2:15" hidden="1" x14ac:dyDescent="0.2">
      <c r="B119" s="84" t="s">
        <v>272</v>
      </c>
      <c r="C119" s="84" t="s">
        <v>270</v>
      </c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</row>
    <row r="120" spans="2:15" hidden="1" x14ac:dyDescent="0.2">
      <c r="B120" s="84" t="s">
        <v>272</v>
      </c>
      <c r="C120" s="84" t="s">
        <v>293</v>
      </c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</row>
    <row r="121" spans="2:15" hidden="1" x14ac:dyDescent="0.2">
      <c r="B121" s="84" t="s">
        <v>272</v>
      </c>
      <c r="C121" s="84" t="s">
        <v>294</v>
      </c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</row>
    <row r="122" spans="2:15" hidden="1" x14ac:dyDescent="0.2">
      <c r="B122" s="84" t="s">
        <v>272</v>
      </c>
      <c r="C122" s="84" t="s">
        <v>211</v>
      </c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</row>
    <row r="123" spans="2:15" hidden="1" x14ac:dyDescent="0.2">
      <c r="B123" s="84" t="s">
        <v>272</v>
      </c>
      <c r="C123" s="84" t="s">
        <v>295</v>
      </c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</row>
    <row r="124" spans="2:15" hidden="1" x14ac:dyDescent="0.2">
      <c r="B124" s="84" t="s">
        <v>272</v>
      </c>
      <c r="C124" s="84" t="s">
        <v>296</v>
      </c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</row>
    <row r="125" spans="2:15" hidden="1" x14ac:dyDescent="0.2">
      <c r="B125" s="84" t="s">
        <v>272</v>
      </c>
      <c r="C125" s="84" t="s">
        <v>297</v>
      </c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</row>
    <row r="126" spans="2:15" hidden="1" x14ac:dyDescent="0.2">
      <c r="B126" s="84" t="s">
        <v>272</v>
      </c>
      <c r="C126" s="84" t="s">
        <v>298</v>
      </c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</row>
    <row r="127" spans="2:15" hidden="1" x14ac:dyDescent="0.2">
      <c r="B127" s="84" t="s">
        <v>272</v>
      </c>
      <c r="C127" s="84" t="s">
        <v>299</v>
      </c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</row>
    <row r="128" spans="2:15" hidden="1" x14ac:dyDescent="0.2">
      <c r="B128" s="84" t="s">
        <v>272</v>
      </c>
      <c r="C128" s="84" t="s">
        <v>300</v>
      </c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</row>
    <row r="129" spans="2:15" hidden="1" x14ac:dyDescent="0.2">
      <c r="B129" s="84" t="s">
        <v>272</v>
      </c>
      <c r="C129" s="84" t="s">
        <v>301</v>
      </c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</row>
    <row r="130" spans="2:15" hidden="1" x14ac:dyDescent="0.2">
      <c r="B130" s="84" t="s">
        <v>272</v>
      </c>
      <c r="C130" s="84" t="s">
        <v>302</v>
      </c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</row>
    <row r="131" spans="2:15" hidden="1" x14ac:dyDescent="0.2">
      <c r="B131" s="84" t="s">
        <v>272</v>
      </c>
      <c r="C131" s="84" t="s">
        <v>303</v>
      </c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</row>
    <row r="132" spans="2:15" hidden="1" x14ac:dyDescent="0.2">
      <c r="B132" s="84" t="s">
        <v>272</v>
      </c>
      <c r="C132" s="84" t="s">
        <v>238</v>
      </c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</row>
    <row r="133" spans="2:15" hidden="1" x14ac:dyDescent="0.2">
      <c r="B133" s="84" t="s">
        <v>304</v>
      </c>
      <c r="C133" s="84" t="s">
        <v>274</v>
      </c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</row>
    <row r="134" spans="2:15" hidden="1" x14ac:dyDescent="0.2">
      <c r="B134" s="84" t="s">
        <v>304</v>
      </c>
      <c r="C134" s="84" t="s">
        <v>275</v>
      </c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</row>
    <row r="135" spans="2:15" hidden="1" x14ac:dyDescent="0.2">
      <c r="B135" s="84" t="s">
        <v>304</v>
      </c>
      <c r="C135" s="84" t="s">
        <v>276</v>
      </c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</row>
    <row r="136" spans="2:15" hidden="1" x14ac:dyDescent="0.2">
      <c r="B136" s="84" t="s">
        <v>304</v>
      </c>
      <c r="C136" s="84" t="s">
        <v>277</v>
      </c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</row>
    <row r="137" spans="2:15" hidden="1" x14ac:dyDescent="0.2">
      <c r="B137" s="84" t="s">
        <v>304</v>
      </c>
      <c r="C137" s="84" t="s">
        <v>278</v>
      </c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</row>
    <row r="138" spans="2:15" hidden="1" x14ac:dyDescent="0.2">
      <c r="B138" s="84" t="s">
        <v>304</v>
      </c>
      <c r="C138" s="84" t="s">
        <v>305</v>
      </c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</row>
    <row r="139" spans="2:15" hidden="1" x14ac:dyDescent="0.2">
      <c r="B139" s="84" t="s">
        <v>304</v>
      </c>
      <c r="C139" s="84" t="s">
        <v>280</v>
      </c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</row>
    <row r="140" spans="2:15" hidden="1" x14ac:dyDescent="0.2">
      <c r="B140" s="84" t="s">
        <v>304</v>
      </c>
      <c r="C140" s="84" t="s">
        <v>248</v>
      </c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</row>
    <row r="141" spans="2:15" hidden="1" x14ac:dyDescent="0.2">
      <c r="B141" s="84" t="s">
        <v>304</v>
      </c>
      <c r="C141" s="84" t="s">
        <v>281</v>
      </c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</row>
    <row r="142" spans="2:15" hidden="1" x14ac:dyDescent="0.2">
      <c r="B142" s="84" t="s">
        <v>304</v>
      </c>
      <c r="C142" s="84" t="s">
        <v>282</v>
      </c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</row>
    <row r="143" spans="2:15" hidden="1" x14ac:dyDescent="0.2">
      <c r="B143" s="84" t="s">
        <v>304</v>
      </c>
      <c r="C143" s="84" t="s">
        <v>244</v>
      </c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</row>
    <row r="144" spans="2:15" hidden="1" x14ac:dyDescent="0.2">
      <c r="B144" s="84" t="s">
        <v>304</v>
      </c>
      <c r="C144" s="84" t="s">
        <v>283</v>
      </c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</row>
    <row r="145" spans="2:15" hidden="1" x14ac:dyDescent="0.2">
      <c r="B145" s="84" t="s">
        <v>304</v>
      </c>
      <c r="C145" s="84" t="s">
        <v>284</v>
      </c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</row>
    <row r="146" spans="2:15" hidden="1" x14ac:dyDescent="0.2">
      <c r="B146" s="84" t="s">
        <v>304</v>
      </c>
      <c r="C146" s="84" t="s">
        <v>285</v>
      </c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</row>
    <row r="147" spans="2:15" hidden="1" x14ac:dyDescent="0.2">
      <c r="B147" s="84" t="s">
        <v>304</v>
      </c>
      <c r="C147" s="84" t="s">
        <v>306</v>
      </c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</row>
    <row r="148" spans="2:15" hidden="1" x14ac:dyDescent="0.2">
      <c r="B148" s="84" t="s">
        <v>304</v>
      </c>
      <c r="C148" s="84" t="s">
        <v>307</v>
      </c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</row>
    <row r="149" spans="2:15" hidden="1" x14ac:dyDescent="0.2">
      <c r="B149" s="84" t="s">
        <v>304</v>
      </c>
      <c r="C149" s="84" t="s">
        <v>286</v>
      </c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</row>
    <row r="150" spans="2:15" hidden="1" x14ac:dyDescent="0.2">
      <c r="B150" s="84" t="s">
        <v>304</v>
      </c>
      <c r="C150" s="84" t="s">
        <v>288</v>
      </c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</row>
    <row r="151" spans="2:15" hidden="1" x14ac:dyDescent="0.2">
      <c r="B151" s="84" t="s">
        <v>304</v>
      </c>
      <c r="C151" s="84" t="s">
        <v>289</v>
      </c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</row>
    <row r="152" spans="2:15" hidden="1" x14ac:dyDescent="0.2">
      <c r="B152" s="84" t="s">
        <v>304</v>
      </c>
      <c r="C152" s="84" t="s">
        <v>267</v>
      </c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</row>
    <row r="153" spans="2:15" hidden="1" x14ac:dyDescent="0.2">
      <c r="B153" s="84" t="s">
        <v>304</v>
      </c>
      <c r="C153" s="84" t="s">
        <v>290</v>
      </c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</row>
    <row r="154" spans="2:15" hidden="1" x14ac:dyDescent="0.2">
      <c r="B154" s="84" t="s">
        <v>304</v>
      </c>
      <c r="C154" s="84" t="s">
        <v>292</v>
      </c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</row>
    <row r="155" spans="2:15" hidden="1" x14ac:dyDescent="0.2">
      <c r="B155" s="84" t="s">
        <v>304</v>
      </c>
      <c r="C155" s="84" t="s">
        <v>270</v>
      </c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</row>
    <row r="156" spans="2:15" hidden="1" x14ac:dyDescent="0.2">
      <c r="B156" s="84" t="s">
        <v>304</v>
      </c>
      <c r="C156" s="84" t="s">
        <v>293</v>
      </c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</row>
    <row r="157" spans="2:15" hidden="1" x14ac:dyDescent="0.2">
      <c r="B157" s="84" t="s">
        <v>304</v>
      </c>
      <c r="C157" s="84" t="s">
        <v>294</v>
      </c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</row>
    <row r="158" spans="2:15" hidden="1" x14ac:dyDescent="0.2">
      <c r="B158" s="84" t="s">
        <v>304</v>
      </c>
      <c r="C158" s="84" t="s">
        <v>211</v>
      </c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</row>
    <row r="159" spans="2:15" hidden="1" x14ac:dyDescent="0.2">
      <c r="B159" s="84" t="s">
        <v>304</v>
      </c>
      <c r="C159" s="84" t="s">
        <v>295</v>
      </c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</row>
    <row r="160" spans="2:15" hidden="1" x14ac:dyDescent="0.2">
      <c r="B160" s="84" t="s">
        <v>304</v>
      </c>
      <c r="C160" s="84" t="s">
        <v>296</v>
      </c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</row>
    <row r="161" spans="2:18" hidden="1" x14ac:dyDescent="0.2">
      <c r="B161" s="84" t="s">
        <v>304</v>
      </c>
      <c r="C161" s="84" t="s">
        <v>297</v>
      </c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</row>
    <row r="162" spans="2:18" hidden="1" x14ac:dyDescent="0.2">
      <c r="B162" s="84" t="s">
        <v>304</v>
      </c>
      <c r="C162" s="84" t="s">
        <v>298</v>
      </c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</row>
    <row r="163" spans="2:18" hidden="1" x14ac:dyDescent="0.2">
      <c r="B163" s="84" t="s">
        <v>304</v>
      </c>
      <c r="C163" s="84" t="s">
        <v>299</v>
      </c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</row>
    <row r="164" spans="2:18" hidden="1" x14ac:dyDescent="0.2">
      <c r="B164" s="84" t="s">
        <v>304</v>
      </c>
      <c r="C164" s="84" t="s">
        <v>300</v>
      </c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</row>
    <row r="165" spans="2:18" hidden="1" x14ac:dyDescent="0.2">
      <c r="B165" s="84" t="s">
        <v>304</v>
      </c>
      <c r="C165" s="84" t="s">
        <v>301</v>
      </c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</row>
    <row r="166" spans="2:18" hidden="1" x14ac:dyDescent="0.2">
      <c r="B166" s="84" t="s">
        <v>304</v>
      </c>
      <c r="C166" s="84" t="s">
        <v>308</v>
      </c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</row>
    <row r="167" spans="2:18" hidden="1" x14ac:dyDescent="0.2">
      <c r="B167" s="84" t="s">
        <v>304</v>
      </c>
      <c r="C167" s="84" t="s">
        <v>303</v>
      </c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</row>
    <row r="168" spans="2:18" hidden="1" x14ac:dyDescent="0.2">
      <c r="B168" s="84" t="s">
        <v>304</v>
      </c>
      <c r="C168" s="84" t="s">
        <v>238</v>
      </c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</row>
    <row r="169" spans="2:18" x14ac:dyDescent="0.2">
      <c r="B169" s="84" t="s">
        <v>309</v>
      </c>
      <c r="C169" s="84" t="s">
        <v>310</v>
      </c>
      <c r="D169" s="84">
        <v>12</v>
      </c>
      <c r="E169" s="84">
        <v>15</v>
      </c>
      <c r="F169" s="84">
        <v>9</v>
      </c>
      <c r="G169" s="84">
        <v>9</v>
      </c>
      <c r="H169" s="84">
        <v>12</v>
      </c>
      <c r="I169" s="84">
        <v>16</v>
      </c>
      <c r="J169" s="84">
        <v>13</v>
      </c>
      <c r="K169" s="84">
        <v>10</v>
      </c>
      <c r="L169" s="84">
        <v>11</v>
      </c>
      <c r="M169" s="84">
        <v>12</v>
      </c>
      <c r="N169" s="84">
        <v>22</v>
      </c>
      <c r="O169" s="84">
        <v>11</v>
      </c>
      <c r="P169" s="83">
        <v>10</v>
      </c>
      <c r="Q169" s="83">
        <v>9</v>
      </c>
      <c r="R169" s="83">
        <v>8</v>
      </c>
    </row>
    <row r="170" spans="2:18" x14ac:dyDescent="0.2">
      <c r="B170" s="84" t="s">
        <v>309</v>
      </c>
      <c r="C170" s="84" t="s">
        <v>274</v>
      </c>
      <c r="D170" s="84">
        <v>46</v>
      </c>
      <c r="E170" s="84">
        <v>42</v>
      </c>
      <c r="F170" s="84">
        <v>32</v>
      </c>
      <c r="G170" s="84">
        <v>35</v>
      </c>
      <c r="H170" s="84">
        <v>38</v>
      </c>
      <c r="I170" s="84">
        <v>31</v>
      </c>
      <c r="J170" s="84">
        <v>42</v>
      </c>
      <c r="K170" s="84">
        <v>28</v>
      </c>
      <c r="L170" s="84">
        <v>27</v>
      </c>
      <c r="M170" s="84">
        <v>37</v>
      </c>
      <c r="N170" s="84">
        <v>38</v>
      </c>
      <c r="O170" s="84">
        <v>40</v>
      </c>
      <c r="P170" s="83">
        <v>51</v>
      </c>
      <c r="Q170" s="83">
        <v>49</v>
      </c>
      <c r="R170" s="83">
        <v>47</v>
      </c>
    </row>
    <row r="171" spans="2:18" x14ac:dyDescent="0.2">
      <c r="B171" s="84" t="s">
        <v>309</v>
      </c>
      <c r="C171" s="84" t="s">
        <v>275</v>
      </c>
      <c r="D171" s="84">
        <v>4</v>
      </c>
      <c r="E171" s="84">
        <v>9</v>
      </c>
      <c r="F171" s="84">
        <v>9</v>
      </c>
      <c r="G171" s="84">
        <v>7</v>
      </c>
      <c r="H171" s="84">
        <v>8</v>
      </c>
      <c r="I171" s="84">
        <v>6</v>
      </c>
      <c r="J171" s="84">
        <v>10</v>
      </c>
      <c r="K171" s="84">
        <v>5</v>
      </c>
      <c r="L171" s="84">
        <v>5</v>
      </c>
      <c r="M171" s="84">
        <v>12</v>
      </c>
      <c r="N171" s="84">
        <v>10</v>
      </c>
      <c r="O171" s="84">
        <v>1</v>
      </c>
      <c r="P171" s="83">
        <v>4</v>
      </c>
      <c r="Q171" s="83">
        <v>9</v>
      </c>
      <c r="R171" s="83">
        <v>12</v>
      </c>
    </row>
    <row r="172" spans="2:18" x14ac:dyDescent="0.2">
      <c r="B172" s="84" t="s">
        <v>309</v>
      </c>
      <c r="C172" s="149" t="s">
        <v>276</v>
      </c>
      <c r="D172" s="84">
        <v>137</v>
      </c>
      <c r="E172" s="84">
        <v>138</v>
      </c>
      <c r="F172" s="84">
        <v>110</v>
      </c>
      <c r="G172" s="84">
        <v>105</v>
      </c>
      <c r="H172" s="84">
        <v>75</v>
      </c>
      <c r="I172" s="84">
        <v>120</v>
      </c>
      <c r="J172" s="84">
        <v>88</v>
      </c>
      <c r="K172" s="84">
        <v>81</v>
      </c>
      <c r="L172" s="84">
        <v>110</v>
      </c>
      <c r="M172" s="84">
        <v>86</v>
      </c>
      <c r="N172" s="84">
        <v>89</v>
      </c>
      <c r="O172" s="84">
        <v>81</v>
      </c>
      <c r="P172" s="83">
        <v>107</v>
      </c>
      <c r="Q172" s="83">
        <v>97</v>
      </c>
      <c r="R172" s="83">
        <v>105</v>
      </c>
    </row>
    <row r="173" spans="2:18" x14ac:dyDescent="0.2">
      <c r="B173" s="84" t="s">
        <v>309</v>
      </c>
      <c r="C173" s="84" t="s">
        <v>277</v>
      </c>
      <c r="D173" s="84">
        <v>43</v>
      </c>
      <c r="E173" s="84">
        <v>55</v>
      </c>
      <c r="F173" s="84">
        <v>37</v>
      </c>
      <c r="G173" s="84">
        <v>40</v>
      </c>
      <c r="H173" s="84">
        <v>35</v>
      </c>
      <c r="I173" s="84">
        <v>41</v>
      </c>
      <c r="J173" s="84">
        <v>50</v>
      </c>
      <c r="K173" s="84">
        <v>35</v>
      </c>
      <c r="L173" s="84">
        <v>23</v>
      </c>
      <c r="M173" s="84">
        <v>42</v>
      </c>
      <c r="N173" s="84">
        <v>42</v>
      </c>
      <c r="O173" s="84">
        <v>33</v>
      </c>
      <c r="P173" s="83">
        <v>52</v>
      </c>
      <c r="Q173" s="83">
        <v>49</v>
      </c>
      <c r="R173" s="83">
        <v>36</v>
      </c>
    </row>
    <row r="174" spans="2:18" x14ac:dyDescent="0.2">
      <c r="B174" s="84" t="s">
        <v>309</v>
      </c>
      <c r="C174" s="149" t="s">
        <v>305</v>
      </c>
      <c r="D174" s="84">
        <v>201</v>
      </c>
      <c r="E174" s="84">
        <v>149</v>
      </c>
      <c r="F174" s="84">
        <v>155</v>
      </c>
      <c r="G174" s="84">
        <v>103</v>
      </c>
      <c r="H174" s="84">
        <v>124</v>
      </c>
      <c r="I174" s="84">
        <v>122</v>
      </c>
      <c r="J174" s="84">
        <v>103</v>
      </c>
      <c r="K174" s="84">
        <v>93</v>
      </c>
      <c r="L174" s="84">
        <v>131</v>
      </c>
      <c r="M174" s="84">
        <v>104</v>
      </c>
      <c r="N174" s="84">
        <v>124</v>
      </c>
      <c r="O174" s="84">
        <v>121</v>
      </c>
      <c r="P174" s="83">
        <v>157</v>
      </c>
      <c r="Q174" s="83">
        <v>167</v>
      </c>
      <c r="R174" s="83">
        <v>142</v>
      </c>
    </row>
    <row r="175" spans="2:18" x14ac:dyDescent="0.2">
      <c r="B175" s="84" t="s">
        <v>309</v>
      </c>
      <c r="C175" s="84" t="s">
        <v>280</v>
      </c>
      <c r="D175" s="84">
        <v>127</v>
      </c>
      <c r="E175" s="84">
        <v>103</v>
      </c>
      <c r="F175" s="84">
        <v>83</v>
      </c>
      <c r="G175" s="84">
        <v>106</v>
      </c>
      <c r="H175" s="84">
        <v>96</v>
      </c>
      <c r="I175" s="84">
        <v>99</v>
      </c>
      <c r="J175" s="84">
        <v>109</v>
      </c>
      <c r="K175" s="84">
        <v>81</v>
      </c>
      <c r="L175" s="84">
        <v>119</v>
      </c>
      <c r="M175" s="84">
        <v>152</v>
      </c>
      <c r="N175" s="84">
        <v>142</v>
      </c>
      <c r="O175" s="84">
        <v>138</v>
      </c>
      <c r="P175" s="83">
        <v>192</v>
      </c>
      <c r="Q175" s="83">
        <v>170</v>
      </c>
      <c r="R175" s="83">
        <v>180</v>
      </c>
    </row>
    <row r="176" spans="2:18" x14ac:dyDescent="0.2">
      <c r="B176" s="84" t="s">
        <v>309</v>
      </c>
      <c r="C176" s="84" t="s">
        <v>281</v>
      </c>
      <c r="D176" s="84">
        <v>10</v>
      </c>
      <c r="E176" s="84">
        <v>16</v>
      </c>
      <c r="F176" s="84">
        <v>14</v>
      </c>
      <c r="G176" s="84">
        <v>18</v>
      </c>
      <c r="H176" s="84">
        <v>24</v>
      </c>
      <c r="I176" s="84">
        <v>17</v>
      </c>
      <c r="J176" s="84">
        <v>21</v>
      </c>
      <c r="K176" s="84">
        <v>16</v>
      </c>
      <c r="L176" s="84">
        <v>19</v>
      </c>
      <c r="M176" s="84">
        <v>16</v>
      </c>
      <c r="N176" s="84">
        <v>16</v>
      </c>
      <c r="O176" s="84">
        <v>15</v>
      </c>
      <c r="P176" s="83">
        <v>10</v>
      </c>
      <c r="Q176" s="83">
        <v>11</v>
      </c>
      <c r="R176" s="83">
        <v>20</v>
      </c>
    </row>
    <row r="177" spans="2:18" x14ac:dyDescent="0.2">
      <c r="B177" s="84" t="s">
        <v>309</v>
      </c>
      <c r="C177" s="84" t="s">
        <v>244</v>
      </c>
      <c r="D177" s="84">
        <v>9</v>
      </c>
      <c r="E177" s="84">
        <v>12</v>
      </c>
      <c r="F177" s="84">
        <v>4</v>
      </c>
      <c r="G177" s="84">
        <v>11</v>
      </c>
      <c r="H177" s="84">
        <v>17</v>
      </c>
      <c r="I177" s="84">
        <v>9</v>
      </c>
      <c r="J177" s="84">
        <v>14</v>
      </c>
      <c r="K177" s="84">
        <v>9</v>
      </c>
      <c r="L177" s="84">
        <v>12</v>
      </c>
      <c r="M177" s="84">
        <v>12</v>
      </c>
      <c r="N177" s="84">
        <v>11</v>
      </c>
      <c r="O177" s="84">
        <v>10</v>
      </c>
      <c r="P177" s="83">
        <v>10</v>
      </c>
      <c r="Q177" s="83">
        <v>19</v>
      </c>
      <c r="R177" s="83">
        <v>14</v>
      </c>
    </row>
    <row r="178" spans="2:18" x14ac:dyDescent="0.2">
      <c r="B178" s="84" t="s">
        <v>309</v>
      </c>
      <c r="C178" s="84" t="s">
        <v>283</v>
      </c>
      <c r="D178" s="84">
        <v>124</v>
      </c>
      <c r="E178" s="84">
        <v>83</v>
      </c>
      <c r="F178" s="84">
        <v>89</v>
      </c>
      <c r="G178" s="84">
        <v>31</v>
      </c>
      <c r="H178" s="84">
        <v>60</v>
      </c>
      <c r="I178" s="84">
        <v>56</v>
      </c>
      <c r="J178" s="84">
        <v>55</v>
      </c>
      <c r="K178" s="84">
        <v>54</v>
      </c>
      <c r="L178" s="84">
        <v>67</v>
      </c>
      <c r="M178" s="84">
        <v>69</v>
      </c>
      <c r="N178" s="84">
        <v>67</v>
      </c>
      <c r="O178" s="84">
        <v>57</v>
      </c>
      <c r="P178" s="83">
        <v>82</v>
      </c>
      <c r="Q178" s="83">
        <v>90</v>
      </c>
      <c r="R178" s="83">
        <v>92</v>
      </c>
    </row>
    <row r="179" spans="2:18" x14ac:dyDescent="0.2">
      <c r="B179" s="84" t="s">
        <v>309</v>
      </c>
      <c r="C179" s="84" t="s">
        <v>284</v>
      </c>
      <c r="D179" s="84"/>
      <c r="E179" s="84"/>
      <c r="F179" s="84"/>
      <c r="G179" s="84">
        <v>18</v>
      </c>
      <c r="H179" s="84">
        <v>30</v>
      </c>
      <c r="I179" s="84">
        <v>38</v>
      </c>
      <c r="J179" s="84">
        <v>30</v>
      </c>
      <c r="K179" s="84">
        <v>20</v>
      </c>
      <c r="L179" s="84">
        <v>31</v>
      </c>
      <c r="M179" s="84">
        <v>40</v>
      </c>
      <c r="N179" s="84">
        <v>30</v>
      </c>
      <c r="O179" s="84">
        <v>30</v>
      </c>
      <c r="P179" s="83">
        <v>33</v>
      </c>
      <c r="Q179" s="83">
        <v>32</v>
      </c>
      <c r="R179" s="83">
        <v>45</v>
      </c>
    </row>
    <row r="180" spans="2:18" x14ac:dyDescent="0.2">
      <c r="B180" s="84" t="s">
        <v>309</v>
      </c>
      <c r="C180" s="84" t="s">
        <v>285</v>
      </c>
      <c r="D180" s="84">
        <v>29</v>
      </c>
      <c r="E180" s="84">
        <v>32</v>
      </c>
      <c r="F180" s="84">
        <v>33</v>
      </c>
      <c r="G180" s="84">
        <v>27</v>
      </c>
      <c r="H180" s="84">
        <v>25</v>
      </c>
      <c r="I180" s="84">
        <v>28</v>
      </c>
      <c r="J180" s="84">
        <v>24</v>
      </c>
      <c r="K180" s="84">
        <v>26</v>
      </c>
      <c r="L180" s="84">
        <v>33</v>
      </c>
      <c r="M180" s="84">
        <v>34</v>
      </c>
      <c r="N180" s="84">
        <v>28</v>
      </c>
      <c r="O180" s="84">
        <v>21</v>
      </c>
      <c r="P180" s="83">
        <v>35</v>
      </c>
      <c r="Q180" s="83">
        <v>38</v>
      </c>
      <c r="R180" s="83">
        <v>51</v>
      </c>
    </row>
    <row r="181" spans="2:18" x14ac:dyDescent="0.2">
      <c r="B181" s="84" t="s">
        <v>309</v>
      </c>
      <c r="C181" s="84" t="s">
        <v>306</v>
      </c>
      <c r="D181" s="84">
        <v>7</v>
      </c>
      <c r="E181" s="84">
        <v>11</v>
      </c>
      <c r="F181" s="84">
        <v>6</v>
      </c>
      <c r="G181" s="84">
        <v>5</v>
      </c>
      <c r="H181" s="84">
        <v>4</v>
      </c>
      <c r="I181" s="84">
        <v>4</v>
      </c>
      <c r="J181" s="84">
        <v>7</v>
      </c>
      <c r="K181" s="84">
        <v>8</v>
      </c>
      <c r="L181" s="84">
        <v>5</v>
      </c>
      <c r="M181" s="84">
        <v>10</v>
      </c>
      <c r="N181" s="84">
        <v>10</v>
      </c>
      <c r="O181" s="84">
        <v>6</v>
      </c>
      <c r="P181" s="83">
        <v>14</v>
      </c>
      <c r="Q181" s="83">
        <v>12</v>
      </c>
      <c r="R181" s="83">
        <v>17</v>
      </c>
    </row>
    <row r="182" spans="2:18" x14ac:dyDescent="0.2">
      <c r="B182" s="84" t="s">
        <v>309</v>
      </c>
      <c r="C182" s="84" t="s">
        <v>307</v>
      </c>
      <c r="D182" s="84">
        <v>165</v>
      </c>
      <c r="E182" s="84">
        <v>146</v>
      </c>
      <c r="F182" s="84">
        <v>134</v>
      </c>
      <c r="G182" s="84">
        <v>130</v>
      </c>
      <c r="H182" s="84">
        <v>127</v>
      </c>
      <c r="I182" s="84">
        <v>139</v>
      </c>
      <c r="J182" s="84">
        <v>142</v>
      </c>
      <c r="K182" s="84">
        <v>131</v>
      </c>
      <c r="L182" s="84">
        <v>136</v>
      </c>
      <c r="M182" s="84">
        <v>154</v>
      </c>
      <c r="N182" s="84">
        <v>152</v>
      </c>
      <c r="O182" s="84">
        <v>112</v>
      </c>
      <c r="P182" s="83">
        <v>154</v>
      </c>
      <c r="Q182" s="83">
        <v>168</v>
      </c>
      <c r="R182" s="83">
        <v>163</v>
      </c>
    </row>
    <row r="183" spans="2:18" x14ac:dyDescent="0.2">
      <c r="B183" s="84" t="s">
        <v>309</v>
      </c>
      <c r="C183" s="84" t="s">
        <v>311</v>
      </c>
      <c r="D183" s="84">
        <v>4</v>
      </c>
      <c r="E183" s="84">
        <v>2</v>
      </c>
      <c r="F183" s="84">
        <v>2</v>
      </c>
      <c r="G183" s="84">
        <v>7</v>
      </c>
      <c r="H183" s="84">
        <v>4</v>
      </c>
      <c r="I183" s="84">
        <v>4</v>
      </c>
      <c r="J183" s="84">
        <v>2</v>
      </c>
      <c r="K183" s="84">
        <v>6</v>
      </c>
      <c r="L183" s="84">
        <v>2</v>
      </c>
      <c r="M183" s="84">
        <v>5</v>
      </c>
      <c r="N183" s="84">
        <v>3</v>
      </c>
      <c r="O183" s="84">
        <v>2</v>
      </c>
      <c r="P183" s="83">
        <v>7</v>
      </c>
      <c r="Q183" s="83">
        <v>4</v>
      </c>
      <c r="R183" s="83">
        <v>3</v>
      </c>
    </row>
    <row r="184" spans="2:18" x14ac:dyDescent="0.2">
      <c r="B184" s="84" t="s">
        <v>309</v>
      </c>
      <c r="C184" s="84" t="s">
        <v>312</v>
      </c>
      <c r="D184" s="84">
        <v>7</v>
      </c>
      <c r="E184" s="84">
        <v>10</v>
      </c>
      <c r="F184" s="84">
        <v>13</v>
      </c>
      <c r="G184" s="84">
        <v>10</v>
      </c>
      <c r="H184" s="84">
        <v>5</v>
      </c>
      <c r="I184" s="84">
        <v>9</v>
      </c>
      <c r="J184" s="84">
        <v>11</v>
      </c>
      <c r="K184" s="84">
        <v>10</v>
      </c>
      <c r="L184" s="84">
        <v>10</v>
      </c>
      <c r="M184" s="84">
        <v>9</v>
      </c>
      <c r="N184" s="84">
        <v>13</v>
      </c>
      <c r="O184" s="84">
        <v>7</v>
      </c>
      <c r="P184" s="83">
        <v>7</v>
      </c>
      <c r="Q184" s="83">
        <v>4</v>
      </c>
      <c r="R184" s="83">
        <v>6</v>
      </c>
    </row>
    <row r="185" spans="2:18" x14ac:dyDescent="0.2">
      <c r="B185" s="84" t="s">
        <v>309</v>
      </c>
      <c r="C185" s="84" t="s">
        <v>288</v>
      </c>
      <c r="D185" s="84">
        <v>16</v>
      </c>
      <c r="E185" s="84">
        <v>15</v>
      </c>
      <c r="F185" s="84">
        <v>16</v>
      </c>
      <c r="G185" s="84">
        <v>17</v>
      </c>
      <c r="H185" s="84">
        <v>13</v>
      </c>
      <c r="I185" s="84">
        <v>18</v>
      </c>
      <c r="J185" s="84">
        <v>13</v>
      </c>
      <c r="K185" s="84">
        <v>14</v>
      </c>
      <c r="L185" s="84">
        <v>15</v>
      </c>
      <c r="M185" s="84">
        <v>27</v>
      </c>
      <c r="N185" s="84">
        <v>14</v>
      </c>
      <c r="O185" s="84">
        <v>10</v>
      </c>
      <c r="P185" s="83">
        <v>14</v>
      </c>
      <c r="Q185" s="83">
        <v>15</v>
      </c>
      <c r="R185" s="83">
        <v>11</v>
      </c>
    </row>
    <row r="186" spans="2:18" x14ac:dyDescent="0.2">
      <c r="B186" s="84" t="s">
        <v>309</v>
      </c>
      <c r="C186" s="84" t="s">
        <v>313</v>
      </c>
      <c r="D186" s="84">
        <v>4</v>
      </c>
      <c r="E186" s="84">
        <v>4</v>
      </c>
      <c r="F186" s="84">
        <v>3</v>
      </c>
      <c r="G186" s="84">
        <v>0</v>
      </c>
      <c r="H186" s="84">
        <v>2</v>
      </c>
      <c r="I186" s="84">
        <v>3</v>
      </c>
      <c r="J186" s="84">
        <v>3</v>
      </c>
      <c r="K186" s="84">
        <v>3</v>
      </c>
      <c r="L186" s="84">
        <v>3</v>
      </c>
      <c r="M186" s="84">
        <v>5</v>
      </c>
      <c r="N186" s="84">
        <v>2</v>
      </c>
      <c r="O186" s="84">
        <v>3</v>
      </c>
      <c r="P186" s="83">
        <v>2</v>
      </c>
      <c r="Q186" s="83">
        <v>6</v>
      </c>
      <c r="R186" s="83">
        <v>3</v>
      </c>
    </row>
    <row r="187" spans="2:18" x14ac:dyDescent="0.2">
      <c r="B187" s="84" t="s">
        <v>309</v>
      </c>
      <c r="C187" s="84" t="s">
        <v>314</v>
      </c>
      <c r="D187" s="84">
        <v>40</v>
      </c>
      <c r="E187" s="84">
        <v>50</v>
      </c>
      <c r="F187" s="84">
        <v>41</v>
      </c>
      <c r="G187" s="84">
        <v>35</v>
      </c>
      <c r="H187" s="84">
        <v>46</v>
      </c>
      <c r="I187" s="84">
        <v>53</v>
      </c>
      <c r="J187" s="84">
        <v>49</v>
      </c>
      <c r="K187" s="84">
        <v>38</v>
      </c>
      <c r="L187" s="84">
        <v>44</v>
      </c>
      <c r="M187" s="84">
        <v>42</v>
      </c>
      <c r="N187" s="84">
        <v>50</v>
      </c>
      <c r="O187" s="84">
        <v>32</v>
      </c>
      <c r="P187" s="83">
        <v>44</v>
      </c>
      <c r="Q187" s="83">
        <v>42</v>
      </c>
      <c r="R187" s="83">
        <v>48</v>
      </c>
    </row>
    <row r="188" spans="2:18" x14ac:dyDescent="0.2">
      <c r="B188" s="84" t="s">
        <v>309</v>
      </c>
      <c r="C188" s="149" t="s">
        <v>315</v>
      </c>
      <c r="D188" s="84">
        <v>10</v>
      </c>
      <c r="E188" s="84">
        <v>7</v>
      </c>
      <c r="F188" s="84">
        <v>12</v>
      </c>
      <c r="G188" s="84">
        <v>9</v>
      </c>
      <c r="H188" s="84">
        <v>10</v>
      </c>
      <c r="I188" s="84">
        <v>15</v>
      </c>
      <c r="J188" s="84">
        <v>11</v>
      </c>
      <c r="K188" s="84">
        <v>10</v>
      </c>
      <c r="L188" s="84">
        <v>7</v>
      </c>
      <c r="M188" s="84">
        <v>8</v>
      </c>
      <c r="N188" s="84">
        <v>9</v>
      </c>
      <c r="O188" s="84">
        <v>6</v>
      </c>
      <c r="P188" s="83">
        <v>15</v>
      </c>
      <c r="Q188" s="83">
        <v>8</v>
      </c>
      <c r="R188" s="83">
        <v>9</v>
      </c>
    </row>
    <row r="189" spans="2:18" x14ac:dyDescent="0.2">
      <c r="B189" s="84" t="s">
        <v>309</v>
      </c>
      <c r="C189" s="84" t="s">
        <v>316</v>
      </c>
      <c r="D189" s="84">
        <v>15</v>
      </c>
      <c r="E189" s="84">
        <v>9</v>
      </c>
      <c r="F189" s="84">
        <v>13</v>
      </c>
      <c r="G189" s="84">
        <v>9</v>
      </c>
      <c r="H189" s="84">
        <v>9</v>
      </c>
      <c r="I189" s="84">
        <v>12</v>
      </c>
      <c r="J189" s="84">
        <v>29</v>
      </c>
      <c r="K189" s="84">
        <v>4</v>
      </c>
      <c r="L189" s="84">
        <v>7</v>
      </c>
      <c r="M189" s="84">
        <v>9</v>
      </c>
      <c r="N189" s="84">
        <v>8</v>
      </c>
      <c r="O189" s="84">
        <v>9</v>
      </c>
      <c r="P189" s="83">
        <v>13</v>
      </c>
      <c r="Q189" s="83">
        <v>9</v>
      </c>
      <c r="R189" s="83">
        <v>9</v>
      </c>
    </row>
    <row r="190" spans="2:18" x14ac:dyDescent="0.2">
      <c r="B190" s="84" t="s">
        <v>309</v>
      </c>
      <c r="C190" s="84" t="s">
        <v>290</v>
      </c>
      <c r="D190" s="84">
        <v>0</v>
      </c>
      <c r="E190" s="84">
        <v>0</v>
      </c>
      <c r="F190" s="84">
        <v>0</v>
      </c>
      <c r="G190" s="84">
        <v>0</v>
      </c>
      <c r="H190" s="84">
        <v>4</v>
      </c>
      <c r="I190" s="84">
        <v>1</v>
      </c>
      <c r="J190" s="84">
        <v>1</v>
      </c>
      <c r="K190" s="84">
        <v>0</v>
      </c>
      <c r="L190" s="84">
        <v>0</v>
      </c>
      <c r="M190" s="84">
        <v>2</v>
      </c>
      <c r="N190" s="84">
        <v>1</v>
      </c>
      <c r="O190" s="84">
        <v>0</v>
      </c>
      <c r="P190" s="83">
        <v>3</v>
      </c>
      <c r="Q190" s="83">
        <v>3</v>
      </c>
      <c r="R190" s="83">
        <v>0</v>
      </c>
    </row>
    <row r="191" spans="2:18" x14ac:dyDescent="0.2">
      <c r="B191" s="84" t="s">
        <v>309</v>
      </c>
      <c r="C191" s="84" t="s">
        <v>317</v>
      </c>
      <c r="D191" s="84">
        <v>35</v>
      </c>
      <c r="E191" s="84">
        <v>39</v>
      </c>
      <c r="F191" s="84">
        <v>41</v>
      </c>
      <c r="G191" s="84">
        <v>19</v>
      </c>
      <c r="H191" s="84">
        <v>53</v>
      </c>
      <c r="I191" s="84">
        <v>50</v>
      </c>
      <c r="J191" s="84">
        <v>38</v>
      </c>
      <c r="K191" s="84">
        <v>35</v>
      </c>
      <c r="L191" s="84">
        <v>53</v>
      </c>
      <c r="M191" s="84">
        <v>45</v>
      </c>
      <c r="N191" s="84">
        <v>45</v>
      </c>
      <c r="O191" s="84">
        <v>26</v>
      </c>
      <c r="P191" s="83">
        <v>35</v>
      </c>
      <c r="Q191" s="83">
        <v>33</v>
      </c>
      <c r="R191" s="83">
        <v>30</v>
      </c>
    </row>
    <row r="192" spans="2:18" x14ac:dyDescent="0.2">
      <c r="B192" s="84" t="s">
        <v>309</v>
      </c>
      <c r="C192" s="84" t="s">
        <v>318</v>
      </c>
      <c r="D192" s="84">
        <v>79</v>
      </c>
      <c r="E192" s="84">
        <v>85</v>
      </c>
      <c r="F192" s="84">
        <v>58</v>
      </c>
      <c r="G192" s="84">
        <v>72</v>
      </c>
      <c r="H192" s="84">
        <v>78</v>
      </c>
      <c r="I192" s="84">
        <v>79</v>
      </c>
      <c r="J192" s="84">
        <v>67</v>
      </c>
      <c r="K192" s="84">
        <v>91</v>
      </c>
      <c r="L192" s="84">
        <v>72</v>
      </c>
      <c r="M192" s="84">
        <v>71</v>
      </c>
      <c r="N192" s="84">
        <v>98</v>
      </c>
      <c r="O192" s="84">
        <v>61</v>
      </c>
      <c r="P192" s="83">
        <v>67</v>
      </c>
      <c r="Q192" s="83">
        <v>76</v>
      </c>
      <c r="R192" s="83">
        <v>80</v>
      </c>
    </row>
    <row r="193" spans="2:18" x14ac:dyDescent="0.2">
      <c r="B193" s="84" t="s">
        <v>309</v>
      </c>
      <c r="C193" s="84" t="s">
        <v>319</v>
      </c>
      <c r="D193" s="84">
        <v>95</v>
      </c>
      <c r="E193" s="84">
        <v>102</v>
      </c>
      <c r="F193" s="84">
        <v>74</v>
      </c>
      <c r="G193" s="84">
        <v>103</v>
      </c>
      <c r="H193" s="84">
        <v>93</v>
      </c>
      <c r="I193" s="84">
        <v>93</v>
      </c>
      <c r="J193" s="84">
        <v>88</v>
      </c>
      <c r="K193" s="84">
        <v>91</v>
      </c>
      <c r="L193" s="84">
        <v>106</v>
      </c>
      <c r="M193" s="84">
        <v>115</v>
      </c>
      <c r="N193" s="84">
        <v>99</v>
      </c>
      <c r="O193" s="84">
        <v>69</v>
      </c>
      <c r="P193" s="83">
        <v>99</v>
      </c>
      <c r="Q193" s="83">
        <v>83</v>
      </c>
      <c r="R193" s="83">
        <v>97</v>
      </c>
    </row>
    <row r="194" spans="2:18" x14ac:dyDescent="0.2">
      <c r="B194" s="84" t="s">
        <v>309</v>
      </c>
      <c r="C194" s="84" t="s">
        <v>320</v>
      </c>
      <c r="D194" s="84">
        <v>14</v>
      </c>
      <c r="E194" s="84">
        <v>24</v>
      </c>
      <c r="F194" s="84">
        <v>13</v>
      </c>
      <c r="G194" s="84">
        <v>22</v>
      </c>
      <c r="H194" s="84">
        <v>12</v>
      </c>
      <c r="I194" s="84">
        <v>19</v>
      </c>
      <c r="J194" s="84">
        <v>20</v>
      </c>
      <c r="K194" s="84">
        <v>16</v>
      </c>
      <c r="L194" s="84">
        <v>17</v>
      </c>
      <c r="M194" s="84">
        <v>28</v>
      </c>
      <c r="N194" s="84">
        <v>20</v>
      </c>
      <c r="O194" s="84">
        <v>11</v>
      </c>
      <c r="P194" s="83">
        <v>19</v>
      </c>
      <c r="Q194" s="83">
        <v>22</v>
      </c>
      <c r="R194" s="83">
        <v>15</v>
      </c>
    </row>
    <row r="195" spans="2:18" x14ac:dyDescent="0.2">
      <c r="B195" s="84" t="s">
        <v>309</v>
      </c>
      <c r="C195" s="84" t="s">
        <v>321</v>
      </c>
      <c r="D195" s="84">
        <v>49</v>
      </c>
      <c r="E195" s="84">
        <v>58</v>
      </c>
      <c r="F195" s="84">
        <v>41</v>
      </c>
      <c r="G195" s="84">
        <v>57</v>
      </c>
      <c r="H195" s="84">
        <v>34</v>
      </c>
      <c r="I195" s="84">
        <v>47</v>
      </c>
      <c r="J195" s="84">
        <v>59</v>
      </c>
      <c r="K195" s="84">
        <v>64</v>
      </c>
      <c r="L195" s="84">
        <v>47</v>
      </c>
      <c r="M195" s="84">
        <v>69</v>
      </c>
      <c r="N195" s="84">
        <v>56</v>
      </c>
      <c r="O195" s="84">
        <v>42</v>
      </c>
      <c r="P195" s="83">
        <v>62</v>
      </c>
      <c r="Q195" s="83">
        <v>65</v>
      </c>
      <c r="R195" s="83">
        <v>63</v>
      </c>
    </row>
    <row r="196" spans="2:18" x14ac:dyDescent="0.2">
      <c r="B196" s="84" t="s">
        <v>309</v>
      </c>
      <c r="C196" s="84" t="s">
        <v>292</v>
      </c>
      <c r="D196" s="84">
        <v>4</v>
      </c>
      <c r="E196" s="84">
        <v>6</v>
      </c>
      <c r="F196" s="84">
        <v>4</v>
      </c>
      <c r="G196" s="84">
        <v>4</v>
      </c>
      <c r="H196" s="84">
        <v>2</v>
      </c>
      <c r="I196" s="84">
        <v>1</v>
      </c>
      <c r="J196" s="84">
        <v>4</v>
      </c>
      <c r="K196" s="84">
        <v>6</v>
      </c>
      <c r="L196" s="84">
        <v>11</v>
      </c>
      <c r="M196" s="84">
        <v>5</v>
      </c>
      <c r="N196" s="84">
        <v>3</v>
      </c>
      <c r="O196" s="84">
        <v>5</v>
      </c>
      <c r="P196" s="83">
        <v>4</v>
      </c>
      <c r="Q196" s="83">
        <v>7</v>
      </c>
      <c r="R196" s="83">
        <v>5</v>
      </c>
    </row>
    <row r="197" spans="2:18" x14ac:dyDescent="0.2">
      <c r="B197" s="84" t="s">
        <v>309</v>
      </c>
      <c r="C197" s="84" t="s">
        <v>322</v>
      </c>
      <c r="D197" s="84">
        <v>43</v>
      </c>
      <c r="E197" s="84">
        <v>57</v>
      </c>
      <c r="F197" s="84">
        <v>46</v>
      </c>
      <c r="G197" s="84">
        <v>56</v>
      </c>
      <c r="H197" s="84">
        <v>50</v>
      </c>
      <c r="I197" s="84">
        <v>74</v>
      </c>
      <c r="J197" s="84">
        <v>69</v>
      </c>
      <c r="K197" s="84">
        <v>26</v>
      </c>
      <c r="L197" s="84">
        <v>63</v>
      </c>
      <c r="M197" s="84">
        <v>56</v>
      </c>
      <c r="N197" s="84">
        <v>50</v>
      </c>
      <c r="O197" s="84">
        <v>47</v>
      </c>
      <c r="P197" s="83">
        <v>52</v>
      </c>
      <c r="Q197" s="83">
        <v>43</v>
      </c>
      <c r="R197" s="83">
        <v>54</v>
      </c>
    </row>
    <row r="198" spans="2:18" x14ac:dyDescent="0.2">
      <c r="B198" s="84" t="s">
        <v>309</v>
      </c>
      <c r="C198" s="149" t="s">
        <v>323</v>
      </c>
      <c r="D198" s="84">
        <v>41</v>
      </c>
      <c r="E198" s="84">
        <v>33</v>
      </c>
      <c r="F198" s="84">
        <v>33</v>
      </c>
      <c r="G198" s="84">
        <v>42</v>
      </c>
      <c r="H198" s="84">
        <v>48</v>
      </c>
      <c r="I198" s="84">
        <v>35</v>
      </c>
      <c r="J198" s="84">
        <v>52</v>
      </c>
      <c r="K198" s="84">
        <v>29</v>
      </c>
      <c r="L198" s="84">
        <v>28</v>
      </c>
      <c r="M198" s="84">
        <v>42</v>
      </c>
      <c r="N198" s="84">
        <v>49</v>
      </c>
      <c r="O198" s="84">
        <v>23</v>
      </c>
      <c r="P198" s="83">
        <v>46</v>
      </c>
      <c r="Q198" s="83">
        <v>35</v>
      </c>
      <c r="R198" s="83">
        <v>39</v>
      </c>
    </row>
    <row r="199" spans="2:18" x14ac:dyDescent="0.2">
      <c r="B199" s="84" t="s">
        <v>309</v>
      </c>
      <c r="C199" s="84" t="s">
        <v>324</v>
      </c>
      <c r="D199" s="84">
        <v>5</v>
      </c>
      <c r="E199" s="84">
        <v>2</v>
      </c>
      <c r="F199" s="84">
        <v>1</v>
      </c>
      <c r="G199" s="84">
        <v>4</v>
      </c>
      <c r="H199" s="84">
        <v>6</v>
      </c>
      <c r="I199" s="84">
        <v>2</v>
      </c>
      <c r="J199" s="84">
        <v>3</v>
      </c>
      <c r="K199" s="84">
        <v>7</v>
      </c>
      <c r="L199" s="84">
        <v>3</v>
      </c>
      <c r="M199" s="84">
        <v>4</v>
      </c>
      <c r="N199" s="84">
        <v>2</v>
      </c>
      <c r="O199" s="84">
        <v>7</v>
      </c>
      <c r="P199" s="83">
        <v>3</v>
      </c>
      <c r="Q199" s="83">
        <v>2</v>
      </c>
      <c r="R199" s="83">
        <v>0</v>
      </c>
    </row>
    <row r="200" spans="2:18" x14ac:dyDescent="0.2">
      <c r="B200" s="84" t="s">
        <v>309</v>
      </c>
      <c r="C200" s="84" t="s">
        <v>270</v>
      </c>
      <c r="D200" s="84">
        <v>64</v>
      </c>
      <c r="E200" s="84">
        <v>48</v>
      </c>
      <c r="F200" s="84">
        <v>64</v>
      </c>
      <c r="G200" s="84">
        <v>24</v>
      </c>
      <c r="H200" s="84">
        <v>50</v>
      </c>
      <c r="I200" s="84">
        <v>67</v>
      </c>
      <c r="J200" s="84">
        <v>60</v>
      </c>
      <c r="K200" s="84">
        <v>36</v>
      </c>
      <c r="L200" s="84">
        <v>38</v>
      </c>
      <c r="M200" s="84">
        <v>42</v>
      </c>
      <c r="N200" s="84">
        <v>37</v>
      </c>
      <c r="O200" s="84">
        <v>29</v>
      </c>
      <c r="P200" s="83">
        <v>45</v>
      </c>
      <c r="Q200" s="83">
        <v>55</v>
      </c>
      <c r="R200" s="83">
        <v>51</v>
      </c>
    </row>
    <row r="201" spans="2:18" x14ac:dyDescent="0.2">
      <c r="B201" s="84" t="s">
        <v>309</v>
      </c>
      <c r="C201" s="84" t="s">
        <v>325</v>
      </c>
      <c r="D201" s="84">
        <v>18</v>
      </c>
      <c r="E201" s="84">
        <v>14</v>
      </c>
      <c r="F201" s="84">
        <v>25</v>
      </c>
      <c r="G201" s="84">
        <v>26</v>
      </c>
      <c r="H201" s="84">
        <v>25</v>
      </c>
      <c r="I201" s="84">
        <v>15</v>
      </c>
      <c r="J201" s="84">
        <v>18</v>
      </c>
      <c r="K201" s="84">
        <v>12</v>
      </c>
      <c r="L201" s="84">
        <v>18</v>
      </c>
      <c r="M201" s="84">
        <v>18</v>
      </c>
      <c r="N201" s="84">
        <v>16</v>
      </c>
      <c r="O201" s="84">
        <v>18</v>
      </c>
      <c r="P201" s="83">
        <v>24</v>
      </c>
      <c r="Q201" s="83">
        <v>12</v>
      </c>
      <c r="R201" s="83">
        <v>22</v>
      </c>
    </row>
    <row r="202" spans="2:18" x14ac:dyDescent="0.2">
      <c r="B202" s="84" t="s">
        <v>309</v>
      </c>
      <c r="C202" s="84" t="s">
        <v>293</v>
      </c>
      <c r="D202" s="84">
        <v>21</v>
      </c>
      <c r="E202" s="84">
        <v>21</v>
      </c>
      <c r="F202" s="84">
        <v>16</v>
      </c>
      <c r="G202" s="84">
        <v>21</v>
      </c>
      <c r="H202" s="84">
        <v>28</v>
      </c>
      <c r="I202" s="84">
        <v>29</v>
      </c>
      <c r="J202" s="84">
        <v>28</v>
      </c>
      <c r="K202" s="84">
        <v>21</v>
      </c>
      <c r="L202" s="84">
        <v>15</v>
      </c>
      <c r="M202" s="84">
        <v>21</v>
      </c>
      <c r="N202" s="84">
        <v>35</v>
      </c>
      <c r="O202" s="84">
        <v>18</v>
      </c>
      <c r="P202" s="83">
        <v>30</v>
      </c>
      <c r="Q202" s="83">
        <v>39</v>
      </c>
      <c r="R202" s="83">
        <v>34</v>
      </c>
    </row>
    <row r="203" spans="2:18" x14ac:dyDescent="0.2">
      <c r="B203" s="84" t="s">
        <v>309</v>
      </c>
      <c r="C203" s="149" t="s">
        <v>294</v>
      </c>
      <c r="D203" s="84">
        <v>26</v>
      </c>
      <c r="E203" s="84">
        <v>33</v>
      </c>
      <c r="F203" s="84">
        <v>25</v>
      </c>
      <c r="G203" s="84">
        <v>38</v>
      </c>
      <c r="H203" s="84">
        <v>47</v>
      </c>
      <c r="I203" s="84">
        <v>39</v>
      </c>
      <c r="J203" s="84">
        <v>49</v>
      </c>
      <c r="K203" s="84">
        <v>34</v>
      </c>
      <c r="L203" s="84">
        <v>34</v>
      </c>
      <c r="M203" s="84">
        <v>37</v>
      </c>
      <c r="N203" s="84">
        <v>36</v>
      </c>
      <c r="O203" s="84">
        <v>26</v>
      </c>
      <c r="P203" s="83">
        <v>50</v>
      </c>
      <c r="Q203" s="83">
        <v>53</v>
      </c>
      <c r="R203" s="83">
        <v>54</v>
      </c>
    </row>
    <row r="204" spans="2:18" x14ac:dyDescent="0.2">
      <c r="B204" s="84" t="s">
        <v>309</v>
      </c>
      <c r="C204" s="84" t="s">
        <v>211</v>
      </c>
      <c r="D204" s="84">
        <v>44</v>
      </c>
      <c r="E204" s="84">
        <v>35</v>
      </c>
      <c r="F204" s="84">
        <v>31</v>
      </c>
      <c r="G204" s="84">
        <v>20</v>
      </c>
      <c r="H204" s="84">
        <v>23</v>
      </c>
      <c r="I204" s="84">
        <v>28</v>
      </c>
      <c r="J204" s="84">
        <v>33</v>
      </c>
      <c r="K204" s="84">
        <v>29</v>
      </c>
      <c r="L204" s="84">
        <v>40</v>
      </c>
      <c r="M204" s="84">
        <v>46</v>
      </c>
      <c r="N204" s="84">
        <v>38</v>
      </c>
      <c r="O204" s="84">
        <v>36</v>
      </c>
      <c r="P204" s="83">
        <v>61</v>
      </c>
      <c r="Q204" s="83">
        <v>52</v>
      </c>
      <c r="R204" s="83">
        <v>60</v>
      </c>
    </row>
    <row r="205" spans="2:18" x14ac:dyDescent="0.2">
      <c r="B205" s="84" t="s">
        <v>309</v>
      </c>
      <c r="C205" s="84" t="s">
        <v>326</v>
      </c>
      <c r="D205" s="84">
        <v>119</v>
      </c>
      <c r="E205" s="84">
        <v>129</v>
      </c>
      <c r="F205" s="84">
        <v>119</v>
      </c>
      <c r="G205" s="84">
        <v>118</v>
      </c>
      <c r="H205" s="84">
        <v>129</v>
      </c>
      <c r="I205" s="84">
        <v>120</v>
      </c>
      <c r="J205" s="84">
        <v>142</v>
      </c>
      <c r="K205" s="84">
        <v>126</v>
      </c>
      <c r="L205" s="84">
        <v>111</v>
      </c>
      <c r="M205" s="84">
        <v>115</v>
      </c>
      <c r="N205" s="84">
        <v>93</v>
      </c>
      <c r="O205" s="84">
        <v>72</v>
      </c>
      <c r="P205" s="83">
        <v>139</v>
      </c>
      <c r="Q205" s="83">
        <v>132</v>
      </c>
      <c r="R205" s="83">
        <v>172</v>
      </c>
    </row>
    <row r="206" spans="2:18" x14ac:dyDescent="0.2">
      <c r="B206" s="84" t="s">
        <v>309</v>
      </c>
      <c r="C206" s="84" t="s">
        <v>327</v>
      </c>
      <c r="D206" s="84">
        <v>9</v>
      </c>
      <c r="E206" s="84">
        <v>12</v>
      </c>
      <c r="F206" s="84">
        <v>12</v>
      </c>
      <c r="G206" s="84">
        <v>6</v>
      </c>
      <c r="H206" s="84">
        <v>4</v>
      </c>
      <c r="I206" s="84">
        <v>9</v>
      </c>
      <c r="J206" s="84">
        <v>3</v>
      </c>
      <c r="K206" s="84">
        <v>11</v>
      </c>
      <c r="L206" s="84">
        <v>9</v>
      </c>
      <c r="M206" s="84">
        <v>7</v>
      </c>
      <c r="N206" s="84">
        <v>4</v>
      </c>
      <c r="O206" s="84">
        <v>5</v>
      </c>
      <c r="P206" s="83">
        <v>4</v>
      </c>
      <c r="Q206" s="83">
        <v>4</v>
      </c>
      <c r="R206" s="83">
        <v>5</v>
      </c>
    </row>
    <row r="207" spans="2:18" x14ac:dyDescent="0.2">
      <c r="B207" s="84" t="s">
        <v>309</v>
      </c>
      <c r="C207" s="84" t="s">
        <v>328</v>
      </c>
      <c r="D207" s="84">
        <v>37</v>
      </c>
      <c r="E207" s="84">
        <v>41</v>
      </c>
      <c r="F207" s="84">
        <v>37</v>
      </c>
      <c r="G207" s="84">
        <v>40</v>
      </c>
      <c r="H207" s="84">
        <v>35</v>
      </c>
      <c r="I207" s="84">
        <v>41</v>
      </c>
      <c r="J207" s="84">
        <v>41</v>
      </c>
      <c r="K207" s="84">
        <v>30</v>
      </c>
      <c r="L207" s="84">
        <v>39</v>
      </c>
      <c r="M207" s="84">
        <v>34</v>
      </c>
      <c r="N207" s="84">
        <v>44</v>
      </c>
      <c r="O207" s="84">
        <v>32</v>
      </c>
      <c r="P207" s="83">
        <v>37</v>
      </c>
      <c r="Q207" s="83">
        <v>39</v>
      </c>
      <c r="R207" s="83">
        <v>49</v>
      </c>
    </row>
    <row r="208" spans="2:18" x14ac:dyDescent="0.2">
      <c r="B208" s="84" t="s">
        <v>309</v>
      </c>
      <c r="C208" s="84" t="s">
        <v>296</v>
      </c>
      <c r="D208" s="84">
        <v>7</v>
      </c>
      <c r="E208" s="84">
        <v>6</v>
      </c>
      <c r="F208" s="84">
        <v>6</v>
      </c>
      <c r="G208" s="84">
        <v>5</v>
      </c>
      <c r="H208" s="84">
        <v>8</v>
      </c>
      <c r="I208" s="84">
        <v>5</v>
      </c>
      <c r="J208" s="84">
        <v>6</v>
      </c>
      <c r="K208" s="84">
        <v>7</v>
      </c>
      <c r="L208" s="84">
        <v>5</v>
      </c>
      <c r="M208" s="84">
        <v>11</v>
      </c>
      <c r="N208" s="84">
        <v>8</v>
      </c>
      <c r="O208" s="84">
        <v>5</v>
      </c>
      <c r="P208" s="83">
        <v>7</v>
      </c>
      <c r="Q208" s="83">
        <v>8</v>
      </c>
      <c r="R208" s="83">
        <v>9</v>
      </c>
    </row>
    <row r="209" spans="2:18" x14ac:dyDescent="0.2">
      <c r="B209" s="84" t="s">
        <v>309</v>
      </c>
      <c r="C209" s="84" t="s">
        <v>297</v>
      </c>
      <c r="D209" s="84">
        <v>3</v>
      </c>
      <c r="E209" s="84">
        <v>4</v>
      </c>
      <c r="F209" s="84">
        <v>0</v>
      </c>
      <c r="G209" s="84">
        <v>1</v>
      </c>
      <c r="H209" s="84">
        <v>0</v>
      </c>
      <c r="I209" s="84">
        <v>1</v>
      </c>
      <c r="J209" s="84">
        <v>0</v>
      </c>
      <c r="K209" s="84">
        <v>1</v>
      </c>
      <c r="L209" s="84">
        <v>2</v>
      </c>
      <c r="M209" s="84">
        <v>2</v>
      </c>
      <c r="N209" s="84">
        <v>3</v>
      </c>
      <c r="O209" s="84">
        <v>2</v>
      </c>
      <c r="P209" s="83">
        <v>4</v>
      </c>
      <c r="Q209" s="83">
        <v>5</v>
      </c>
      <c r="R209" s="83">
        <v>1</v>
      </c>
    </row>
    <row r="210" spans="2:18" x14ac:dyDescent="0.2">
      <c r="B210" s="84" t="s">
        <v>309</v>
      </c>
      <c r="C210" s="84" t="s">
        <v>329</v>
      </c>
      <c r="D210" s="84">
        <v>28</v>
      </c>
      <c r="E210" s="84">
        <v>28</v>
      </c>
      <c r="F210" s="84">
        <v>35</v>
      </c>
      <c r="G210" s="84">
        <v>25</v>
      </c>
      <c r="H210" s="84">
        <v>12</v>
      </c>
      <c r="I210" s="84">
        <v>21</v>
      </c>
      <c r="J210" s="84">
        <v>26</v>
      </c>
      <c r="K210" s="84">
        <v>23</v>
      </c>
      <c r="L210" s="84">
        <v>23</v>
      </c>
      <c r="M210" s="84">
        <v>0</v>
      </c>
      <c r="N210" s="84">
        <v>0</v>
      </c>
      <c r="O210" s="84">
        <v>0</v>
      </c>
      <c r="P210" s="83">
        <v>0</v>
      </c>
      <c r="Q210" s="83">
        <v>0</v>
      </c>
      <c r="R210" s="83">
        <v>0</v>
      </c>
    </row>
    <row r="211" spans="2:18" x14ac:dyDescent="0.2">
      <c r="B211" s="84" t="s">
        <v>309</v>
      </c>
      <c r="C211" s="84" t="s">
        <v>298</v>
      </c>
      <c r="D211" s="84">
        <v>23</v>
      </c>
      <c r="E211" s="84">
        <v>20</v>
      </c>
      <c r="F211" s="84">
        <v>28</v>
      </c>
      <c r="G211" s="84">
        <v>23</v>
      </c>
      <c r="H211" s="84">
        <v>16</v>
      </c>
      <c r="I211" s="84">
        <v>14</v>
      </c>
      <c r="J211" s="84">
        <v>22</v>
      </c>
      <c r="K211" s="84">
        <v>15</v>
      </c>
      <c r="L211" s="84">
        <v>19</v>
      </c>
      <c r="M211" s="84">
        <v>17</v>
      </c>
      <c r="N211" s="84">
        <v>19</v>
      </c>
      <c r="O211" s="84">
        <v>11</v>
      </c>
      <c r="P211" s="83">
        <v>13</v>
      </c>
      <c r="Q211" s="83">
        <v>19</v>
      </c>
      <c r="R211" s="83">
        <v>14</v>
      </c>
    </row>
    <row r="212" spans="2:18" x14ac:dyDescent="0.2">
      <c r="B212" s="84" t="s">
        <v>309</v>
      </c>
      <c r="C212" s="84" t="s">
        <v>330</v>
      </c>
      <c r="D212" s="84">
        <v>0</v>
      </c>
      <c r="E212" s="84">
        <v>0</v>
      </c>
      <c r="F212" s="84">
        <v>0</v>
      </c>
      <c r="G212" s="84">
        <v>0</v>
      </c>
      <c r="H212" s="84">
        <v>0</v>
      </c>
      <c r="I212" s="84">
        <v>0</v>
      </c>
      <c r="J212" s="84">
        <v>0</v>
      </c>
      <c r="K212" s="84">
        <v>0</v>
      </c>
      <c r="L212" s="84">
        <v>0</v>
      </c>
      <c r="M212" s="84">
        <v>13</v>
      </c>
      <c r="N212" s="84">
        <v>16</v>
      </c>
      <c r="O212" s="84">
        <v>8</v>
      </c>
      <c r="P212" s="83">
        <v>12</v>
      </c>
      <c r="Q212" s="83">
        <v>10</v>
      </c>
      <c r="R212" s="83">
        <v>16</v>
      </c>
    </row>
    <row r="213" spans="2:18" x14ac:dyDescent="0.2">
      <c r="B213" s="84" t="s">
        <v>309</v>
      </c>
      <c r="C213" s="84" t="s">
        <v>331</v>
      </c>
      <c r="D213" s="84">
        <v>5</v>
      </c>
      <c r="E213" s="84">
        <v>7</v>
      </c>
      <c r="F213" s="84">
        <v>4</v>
      </c>
      <c r="G213" s="84">
        <v>11</v>
      </c>
      <c r="H213" s="84">
        <v>6</v>
      </c>
      <c r="I213" s="84">
        <v>18</v>
      </c>
      <c r="J213" s="84">
        <v>10</v>
      </c>
      <c r="K213" s="84">
        <v>5</v>
      </c>
      <c r="L213" s="84">
        <v>7</v>
      </c>
      <c r="M213" s="84">
        <v>8</v>
      </c>
      <c r="N213" s="84">
        <v>7</v>
      </c>
      <c r="O213" s="84">
        <v>3</v>
      </c>
      <c r="P213" s="83">
        <v>10</v>
      </c>
      <c r="Q213" s="83">
        <v>2</v>
      </c>
      <c r="R213" s="83">
        <v>6</v>
      </c>
    </row>
    <row r="214" spans="2:18" x14ac:dyDescent="0.2">
      <c r="B214" s="84" t="s">
        <v>309</v>
      </c>
      <c r="C214" s="84" t="s">
        <v>332</v>
      </c>
      <c r="D214" s="84">
        <v>179</v>
      </c>
      <c r="E214" s="84">
        <v>213</v>
      </c>
      <c r="F214" s="84">
        <v>167</v>
      </c>
      <c r="G214" s="84">
        <v>163</v>
      </c>
      <c r="H214" s="84">
        <v>151</v>
      </c>
      <c r="I214" s="84">
        <v>158</v>
      </c>
      <c r="J214" s="84">
        <v>180</v>
      </c>
      <c r="K214" s="84">
        <v>155</v>
      </c>
      <c r="L214" s="84">
        <v>180</v>
      </c>
      <c r="M214" s="84">
        <v>189</v>
      </c>
      <c r="N214" s="84">
        <v>182</v>
      </c>
      <c r="O214" s="84">
        <v>139</v>
      </c>
      <c r="P214" s="83">
        <v>182</v>
      </c>
      <c r="Q214" s="83">
        <v>193</v>
      </c>
      <c r="R214" s="83">
        <v>198</v>
      </c>
    </row>
    <row r="215" spans="2:18" x14ac:dyDescent="0.2">
      <c r="B215" s="84" t="s">
        <v>309</v>
      </c>
      <c r="C215" s="84" t="s">
        <v>300</v>
      </c>
      <c r="D215" s="84">
        <v>50</v>
      </c>
      <c r="E215" s="84">
        <v>54</v>
      </c>
      <c r="F215" s="84">
        <v>46</v>
      </c>
      <c r="G215" s="84">
        <v>40</v>
      </c>
      <c r="H215" s="84">
        <v>40</v>
      </c>
      <c r="I215" s="84">
        <v>43</v>
      </c>
      <c r="J215" s="84">
        <v>32</v>
      </c>
      <c r="K215" s="84">
        <v>33</v>
      </c>
      <c r="L215" s="84">
        <v>30</v>
      </c>
      <c r="M215" s="84">
        <v>53</v>
      </c>
      <c r="N215" s="84">
        <v>50</v>
      </c>
      <c r="O215" s="84">
        <v>29</v>
      </c>
      <c r="P215" s="83">
        <v>48</v>
      </c>
      <c r="Q215" s="83">
        <v>49</v>
      </c>
      <c r="R215" s="83">
        <v>50</v>
      </c>
    </row>
    <row r="216" spans="2:18" x14ac:dyDescent="0.2">
      <c r="B216" s="84" t="s">
        <v>309</v>
      </c>
      <c r="C216" s="84" t="s">
        <v>301</v>
      </c>
      <c r="D216" s="84"/>
      <c r="E216" s="84"/>
      <c r="F216" s="84"/>
      <c r="G216" s="84"/>
      <c r="H216" s="84"/>
      <c r="I216" s="84"/>
      <c r="J216" s="84"/>
      <c r="K216" s="84"/>
      <c r="L216" s="84"/>
      <c r="M216" s="84">
        <v>3</v>
      </c>
      <c r="N216" s="84">
        <v>6</v>
      </c>
      <c r="O216" s="84">
        <v>3</v>
      </c>
      <c r="P216" s="83">
        <v>6</v>
      </c>
      <c r="Q216" s="83">
        <v>6</v>
      </c>
      <c r="R216" s="83">
        <v>13</v>
      </c>
    </row>
    <row r="217" spans="2:18" x14ac:dyDescent="0.2">
      <c r="B217" s="84" t="s">
        <v>309</v>
      </c>
      <c r="C217" s="84" t="s">
        <v>333</v>
      </c>
      <c r="D217" s="84"/>
      <c r="E217" s="84"/>
      <c r="F217" s="84"/>
      <c r="G217" s="84"/>
      <c r="H217" s="84"/>
      <c r="I217" s="84">
        <v>1</v>
      </c>
      <c r="J217" s="84"/>
      <c r="K217" s="84"/>
      <c r="L217" s="84"/>
      <c r="M217" s="84"/>
      <c r="N217" s="84"/>
      <c r="O217" s="84"/>
      <c r="P217" s="83">
        <v>0</v>
      </c>
      <c r="Q217" s="83">
        <v>0</v>
      </c>
      <c r="R217" s="83">
        <v>0</v>
      </c>
    </row>
    <row r="218" spans="2:18" x14ac:dyDescent="0.2">
      <c r="B218" s="84" t="s">
        <v>309</v>
      </c>
      <c r="C218" s="84" t="s">
        <v>334</v>
      </c>
      <c r="D218" s="84">
        <v>1</v>
      </c>
      <c r="E218" s="84"/>
      <c r="F218" s="84"/>
      <c r="G218" s="84"/>
      <c r="H218" s="84"/>
      <c r="I218" s="84">
        <v>1</v>
      </c>
      <c r="J218" s="84"/>
      <c r="K218" s="84"/>
      <c r="L218" s="84"/>
      <c r="M218" s="84"/>
      <c r="N218" s="84"/>
      <c r="O218" s="84">
        <v>1</v>
      </c>
      <c r="P218" s="83">
        <v>0</v>
      </c>
      <c r="Q218" s="83">
        <v>0</v>
      </c>
      <c r="R218" s="83">
        <v>0</v>
      </c>
    </row>
    <row r="219" spans="2:18" x14ac:dyDescent="0.2">
      <c r="B219" s="84" t="s">
        <v>309</v>
      </c>
      <c r="C219" s="84" t="s">
        <v>335</v>
      </c>
      <c r="D219" s="84"/>
      <c r="E219" s="84"/>
      <c r="F219" s="84"/>
      <c r="G219" s="84"/>
      <c r="H219" s="84"/>
      <c r="I219" s="84"/>
      <c r="J219" s="84"/>
      <c r="K219" s="84"/>
      <c r="L219" s="84"/>
      <c r="M219" s="84">
        <v>1</v>
      </c>
      <c r="N219" s="84"/>
      <c r="O219" s="84">
        <v>1</v>
      </c>
      <c r="P219" s="83">
        <v>0</v>
      </c>
      <c r="Q219" s="83">
        <v>0</v>
      </c>
      <c r="R219" s="83">
        <v>0</v>
      </c>
    </row>
    <row r="220" spans="2:18" x14ac:dyDescent="0.2">
      <c r="B220" s="84" t="s">
        <v>309</v>
      </c>
      <c r="C220" s="84" t="s">
        <v>336</v>
      </c>
      <c r="D220" s="84"/>
      <c r="E220" s="84"/>
      <c r="F220" s="84"/>
      <c r="G220" s="84"/>
      <c r="H220" s="84"/>
      <c r="I220" s="84">
        <v>1</v>
      </c>
      <c r="J220" s="84"/>
      <c r="K220" s="84"/>
      <c r="L220" s="84"/>
      <c r="M220" s="84"/>
      <c r="N220" s="84"/>
      <c r="O220" s="84"/>
      <c r="P220" s="83">
        <v>0</v>
      </c>
      <c r="Q220" s="83">
        <v>1</v>
      </c>
      <c r="R220" s="83">
        <v>0</v>
      </c>
    </row>
    <row r="221" spans="2:18" x14ac:dyDescent="0.2">
      <c r="B221" s="84" t="s">
        <v>309</v>
      </c>
      <c r="C221" s="84" t="s">
        <v>337</v>
      </c>
      <c r="D221" s="84">
        <v>0</v>
      </c>
      <c r="E221" s="84">
        <v>0</v>
      </c>
      <c r="F221" s="84">
        <v>0</v>
      </c>
      <c r="G221" s="84">
        <v>27</v>
      </c>
      <c r="H221" s="84">
        <v>28</v>
      </c>
      <c r="I221" s="84">
        <v>25</v>
      </c>
      <c r="J221" s="84">
        <v>38</v>
      </c>
      <c r="K221" s="84">
        <v>26</v>
      </c>
      <c r="L221" s="84">
        <v>35</v>
      </c>
      <c r="M221" s="84">
        <v>36</v>
      </c>
      <c r="N221" s="84">
        <v>32</v>
      </c>
      <c r="O221" s="84">
        <v>21</v>
      </c>
      <c r="P221" s="83">
        <v>35</v>
      </c>
      <c r="Q221" s="83">
        <v>50</v>
      </c>
      <c r="R221" s="83">
        <v>43</v>
      </c>
    </row>
    <row r="222" spans="2:18" x14ac:dyDescent="0.2">
      <c r="B222" s="84" t="s">
        <v>309</v>
      </c>
      <c r="C222" s="84" t="s">
        <v>238</v>
      </c>
      <c r="D222" s="84">
        <v>184</v>
      </c>
      <c r="E222" s="84">
        <v>154</v>
      </c>
      <c r="F222" s="84">
        <v>159</v>
      </c>
      <c r="G222" s="84">
        <v>147</v>
      </c>
      <c r="H222" s="84">
        <v>149</v>
      </c>
      <c r="I222" s="84">
        <v>152</v>
      </c>
      <c r="J222" s="84">
        <v>178</v>
      </c>
      <c r="K222" s="84">
        <v>163</v>
      </c>
      <c r="L222" s="84">
        <v>174</v>
      </c>
      <c r="M222" s="84">
        <v>165</v>
      </c>
      <c r="N222" s="84">
        <v>141</v>
      </c>
      <c r="O222" s="84">
        <v>110</v>
      </c>
      <c r="P222" s="83">
        <v>157</v>
      </c>
      <c r="Q222" s="83">
        <v>167</v>
      </c>
      <c r="R222" s="83">
        <v>191</v>
      </c>
    </row>
    <row r="223" spans="2:18" hidden="1" x14ac:dyDescent="0.2">
      <c r="B223" s="84" t="s">
        <v>338</v>
      </c>
      <c r="C223" s="84" t="s">
        <v>339</v>
      </c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</row>
    <row r="224" spans="2:18" hidden="1" x14ac:dyDescent="0.2">
      <c r="B224" s="84" t="s">
        <v>338</v>
      </c>
      <c r="C224" s="84" t="s">
        <v>244</v>
      </c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</row>
    <row r="225" spans="2:15" hidden="1" x14ac:dyDescent="0.2">
      <c r="B225" s="84" t="s">
        <v>338</v>
      </c>
      <c r="C225" s="84" t="s">
        <v>340</v>
      </c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</row>
    <row r="226" spans="2:15" hidden="1" x14ac:dyDescent="0.2">
      <c r="B226" s="84" t="s">
        <v>338</v>
      </c>
      <c r="C226" s="84" t="s">
        <v>341</v>
      </c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</row>
    <row r="227" spans="2:15" hidden="1" x14ac:dyDescent="0.2">
      <c r="B227" s="84" t="s">
        <v>338</v>
      </c>
      <c r="C227" s="84" t="s">
        <v>342</v>
      </c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</row>
    <row r="228" spans="2:15" hidden="1" x14ac:dyDescent="0.2">
      <c r="B228" s="84" t="s">
        <v>338</v>
      </c>
      <c r="C228" s="84" t="s">
        <v>290</v>
      </c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</row>
    <row r="229" spans="2:15" hidden="1" x14ac:dyDescent="0.2">
      <c r="B229" s="84" t="s">
        <v>338</v>
      </c>
      <c r="C229" s="84" t="s">
        <v>324</v>
      </c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</row>
    <row r="230" spans="2:15" hidden="1" x14ac:dyDescent="0.2">
      <c r="B230" s="84" t="s">
        <v>338</v>
      </c>
      <c r="C230" s="84" t="s">
        <v>292</v>
      </c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</row>
    <row r="231" spans="2:15" hidden="1" x14ac:dyDescent="0.2">
      <c r="B231" s="84" t="s">
        <v>338</v>
      </c>
      <c r="C231" s="84" t="s">
        <v>343</v>
      </c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</row>
    <row r="232" spans="2:15" hidden="1" x14ac:dyDescent="0.2">
      <c r="B232" s="84" t="s">
        <v>338</v>
      </c>
      <c r="C232" s="84" t="s">
        <v>211</v>
      </c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</row>
    <row r="233" spans="2:15" hidden="1" x14ac:dyDescent="0.2">
      <c r="B233" s="84" t="s">
        <v>338</v>
      </c>
      <c r="C233" s="84" t="s">
        <v>344</v>
      </c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</row>
    <row r="234" spans="2:15" hidden="1" x14ac:dyDescent="0.2">
      <c r="B234" s="84" t="s">
        <v>338</v>
      </c>
      <c r="C234" s="84" t="s">
        <v>296</v>
      </c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</row>
    <row r="235" spans="2:15" hidden="1" x14ac:dyDescent="0.2">
      <c r="B235" s="84" t="s">
        <v>338</v>
      </c>
      <c r="C235" s="84" t="s">
        <v>297</v>
      </c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</row>
    <row r="236" spans="2:15" hidden="1" x14ac:dyDescent="0.2">
      <c r="B236" s="84" t="s">
        <v>338</v>
      </c>
      <c r="C236" s="84" t="s">
        <v>298</v>
      </c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</row>
    <row r="237" spans="2:15" hidden="1" x14ac:dyDescent="0.2">
      <c r="B237" s="84" t="s">
        <v>338</v>
      </c>
      <c r="C237" s="84" t="s">
        <v>345</v>
      </c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</row>
    <row r="238" spans="2:15" hidden="1" x14ac:dyDescent="0.2">
      <c r="B238" s="84" t="s">
        <v>338</v>
      </c>
      <c r="C238" s="84" t="s">
        <v>346</v>
      </c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</row>
    <row r="239" spans="2:15" hidden="1" x14ac:dyDescent="0.2">
      <c r="B239" s="84" t="s">
        <v>338</v>
      </c>
      <c r="C239" s="84" t="s">
        <v>347</v>
      </c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</row>
    <row r="240" spans="2:15" hidden="1" x14ac:dyDescent="0.2">
      <c r="B240" s="84" t="s">
        <v>338</v>
      </c>
      <c r="C240" s="84" t="s">
        <v>348</v>
      </c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</row>
    <row r="241" spans="2:15" hidden="1" x14ac:dyDescent="0.2">
      <c r="B241" s="84" t="s">
        <v>338</v>
      </c>
      <c r="C241" s="84" t="s">
        <v>238</v>
      </c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</row>
    <row r="242" spans="2:15" hidden="1" x14ac:dyDescent="0.2">
      <c r="B242" s="84" t="s">
        <v>349</v>
      </c>
      <c r="C242" s="84" t="s">
        <v>350</v>
      </c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</row>
    <row r="243" spans="2:15" hidden="1" x14ac:dyDescent="0.2">
      <c r="B243" s="84" t="s">
        <v>349</v>
      </c>
      <c r="C243" s="84" t="s">
        <v>225</v>
      </c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</row>
    <row r="244" spans="2:15" hidden="1" x14ac:dyDescent="0.2">
      <c r="B244" s="84" t="s">
        <v>349</v>
      </c>
      <c r="C244" s="84" t="s">
        <v>351</v>
      </c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</row>
    <row r="245" spans="2:15" hidden="1" x14ac:dyDescent="0.2">
      <c r="B245" s="84" t="s">
        <v>349</v>
      </c>
      <c r="C245" s="84" t="s">
        <v>352</v>
      </c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</row>
    <row r="246" spans="2:15" hidden="1" x14ac:dyDescent="0.2">
      <c r="B246" s="84" t="s">
        <v>349</v>
      </c>
      <c r="C246" s="84" t="s">
        <v>353</v>
      </c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</row>
    <row r="247" spans="2:15" hidden="1" x14ac:dyDescent="0.2">
      <c r="B247" s="84" t="s">
        <v>349</v>
      </c>
      <c r="C247" s="84" t="s">
        <v>211</v>
      </c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</row>
    <row r="248" spans="2:15" hidden="1" x14ac:dyDescent="0.2">
      <c r="B248" s="84" t="s">
        <v>349</v>
      </c>
      <c r="C248" s="84" t="s">
        <v>238</v>
      </c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</row>
    <row r="249" spans="2:15" hidden="1" x14ac:dyDescent="0.2">
      <c r="B249" s="84" t="s">
        <v>354</v>
      </c>
      <c r="C249" s="84" t="s">
        <v>355</v>
      </c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</row>
    <row r="250" spans="2:15" hidden="1" x14ac:dyDescent="0.2">
      <c r="B250" s="84" t="s">
        <v>354</v>
      </c>
      <c r="C250" s="84" t="s">
        <v>356</v>
      </c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</row>
    <row r="251" spans="2:15" hidden="1" x14ac:dyDescent="0.2">
      <c r="B251" s="84" t="s">
        <v>354</v>
      </c>
      <c r="C251" s="84" t="s">
        <v>357</v>
      </c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</row>
    <row r="252" spans="2:15" hidden="1" x14ac:dyDescent="0.2">
      <c r="B252" s="84" t="s">
        <v>354</v>
      </c>
      <c r="C252" s="84" t="s">
        <v>211</v>
      </c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</row>
    <row r="253" spans="2:15" hidden="1" x14ac:dyDescent="0.2">
      <c r="B253" s="84" t="s">
        <v>358</v>
      </c>
      <c r="C253" s="84" t="s">
        <v>359</v>
      </c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</row>
    <row r="254" spans="2:15" hidden="1" x14ac:dyDescent="0.2">
      <c r="B254" s="84" t="s">
        <v>358</v>
      </c>
      <c r="C254" s="84" t="s">
        <v>360</v>
      </c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</row>
    <row r="255" spans="2:15" hidden="1" x14ac:dyDescent="0.2">
      <c r="B255" s="84" t="s">
        <v>358</v>
      </c>
      <c r="C255" s="84" t="s">
        <v>361</v>
      </c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</row>
    <row r="256" spans="2:15" hidden="1" x14ac:dyDescent="0.2">
      <c r="B256" s="84" t="s">
        <v>358</v>
      </c>
      <c r="C256" s="84" t="s">
        <v>362</v>
      </c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</row>
    <row r="257" spans="2:15" hidden="1" x14ac:dyDescent="0.2">
      <c r="B257" s="84" t="s">
        <v>358</v>
      </c>
      <c r="C257" s="84" t="s">
        <v>363</v>
      </c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</row>
    <row r="258" spans="2:15" hidden="1" x14ac:dyDescent="0.2">
      <c r="B258" s="84" t="s">
        <v>358</v>
      </c>
      <c r="C258" s="84" t="s">
        <v>364</v>
      </c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</row>
    <row r="259" spans="2:15" hidden="1" x14ac:dyDescent="0.2">
      <c r="B259" s="84" t="s">
        <v>358</v>
      </c>
      <c r="C259" s="84" t="s">
        <v>365</v>
      </c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</row>
    <row r="260" spans="2:15" hidden="1" x14ac:dyDescent="0.2">
      <c r="B260" s="84" t="s">
        <v>358</v>
      </c>
      <c r="C260" s="84" t="s">
        <v>366</v>
      </c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</row>
    <row r="261" spans="2:15" hidden="1" x14ac:dyDescent="0.2">
      <c r="B261" s="84" t="s">
        <v>358</v>
      </c>
      <c r="C261" s="84" t="s">
        <v>367</v>
      </c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</row>
    <row r="262" spans="2:15" hidden="1" x14ac:dyDescent="0.2">
      <c r="B262" s="84" t="s">
        <v>358</v>
      </c>
      <c r="C262" s="84" t="s">
        <v>368</v>
      </c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</row>
    <row r="263" spans="2:15" hidden="1" x14ac:dyDescent="0.2">
      <c r="B263" s="84" t="s">
        <v>358</v>
      </c>
      <c r="C263" s="84" t="s">
        <v>369</v>
      </c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</row>
    <row r="264" spans="2:15" hidden="1" x14ac:dyDescent="0.2">
      <c r="B264" s="84" t="s">
        <v>358</v>
      </c>
      <c r="C264" s="84" t="s">
        <v>270</v>
      </c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</row>
    <row r="265" spans="2:15" hidden="1" x14ac:dyDescent="0.2">
      <c r="B265" s="84" t="s">
        <v>358</v>
      </c>
      <c r="C265" s="84" t="s">
        <v>370</v>
      </c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</row>
    <row r="266" spans="2:15" hidden="1" x14ac:dyDescent="0.2">
      <c r="B266" s="84" t="s">
        <v>358</v>
      </c>
      <c r="C266" s="84" t="s">
        <v>371</v>
      </c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</row>
    <row r="267" spans="2:15" hidden="1" x14ac:dyDescent="0.2">
      <c r="B267" s="84" t="s">
        <v>358</v>
      </c>
      <c r="C267" s="84" t="s">
        <v>211</v>
      </c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</row>
    <row r="268" spans="2:15" hidden="1" x14ac:dyDescent="0.2">
      <c r="B268" s="84" t="s">
        <v>358</v>
      </c>
      <c r="C268" s="84" t="s">
        <v>372</v>
      </c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</row>
    <row r="269" spans="2:15" hidden="1" x14ac:dyDescent="0.2">
      <c r="B269" s="84" t="s">
        <v>358</v>
      </c>
      <c r="C269" s="84" t="s">
        <v>373</v>
      </c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</row>
    <row r="270" spans="2:15" hidden="1" x14ac:dyDescent="0.2">
      <c r="B270" s="84" t="s">
        <v>358</v>
      </c>
      <c r="C270" s="84" t="s">
        <v>374</v>
      </c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</row>
    <row r="271" spans="2:15" hidden="1" x14ac:dyDescent="0.2">
      <c r="B271" s="84" t="s">
        <v>358</v>
      </c>
      <c r="C271" s="84" t="s">
        <v>375</v>
      </c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</row>
    <row r="272" spans="2:15" hidden="1" x14ac:dyDescent="0.2">
      <c r="B272" s="84" t="s">
        <v>358</v>
      </c>
      <c r="C272" s="84" t="s">
        <v>238</v>
      </c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</row>
  </sheetData>
  <autoFilter ref="B7:O272" xr:uid="{5BAD7423-A7E6-48A2-B7E4-04848015773A}">
    <filterColumn colId="0">
      <filters>
        <filter val="8 Private sector rented property"/>
      </filters>
    </filterColumn>
  </autoFilter>
  <phoneticPr fontId="21" type="noConversion"/>
  <hyperlinks>
    <hyperlink ref="C4" r:id="rId1" xr:uid="{F16AF048-1F78-4584-88E4-C1990448B968}"/>
  </hyperlink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60FC7-6EA5-4482-B8A0-8B440C3EE941}">
  <dimension ref="B2:AJ46"/>
  <sheetViews>
    <sheetView topLeftCell="A2" zoomScale="75" zoomScaleNormal="96" workbookViewId="0">
      <selection activeCell="AJ44" sqref="AJ44:AJ46"/>
    </sheetView>
  </sheetViews>
  <sheetFormatPr baseColWidth="10" defaultColWidth="8.85546875" defaultRowHeight="16" x14ac:dyDescent="0.2"/>
  <cols>
    <col min="1" max="1" width="8.85546875" style="52"/>
    <col min="2" max="2" width="10.28515625" style="52" customWidth="1"/>
    <col min="3" max="16384" width="8.85546875" style="52"/>
  </cols>
  <sheetData>
    <row r="2" spans="2:36" x14ac:dyDescent="0.2">
      <c r="B2" s="52" t="s">
        <v>1</v>
      </c>
      <c r="C2" s="52" t="s">
        <v>376</v>
      </c>
    </row>
    <row r="3" spans="2:36" x14ac:dyDescent="0.2">
      <c r="B3" s="52" t="s">
        <v>85</v>
      </c>
    </row>
    <row r="4" spans="2:36" x14ac:dyDescent="0.2">
      <c r="B4" s="52" t="s">
        <v>87</v>
      </c>
      <c r="C4" s="54" t="s">
        <v>377</v>
      </c>
    </row>
    <row r="5" spans="2:36" x14ac:dyDescent="0.2">
      <c r="B5" s="52" t="s">
        <v>89</v>
      </c>
      <c r="C5" s="52" t="s">
        <v>378</v>
      </c>
    </row>
    <row r="7" spans="2:36" x14ac:dyDescent="0.2">
      <c r="B7" s="52" t="s">
        <v>379</v>
      </c>
      <c r="C7" s="52" t="s">
        <v>380</v>
      </c>
      <c r="D7" s="52" t="s">
        <v>156</v>
      </c>
      <c r="E7" s="52" t="s">
        <v>157</v>
      </c>
      <c r="F7" s="52" t="s">
        <v>158</v>
      </c>
      <c r="G7" s="52" t="s">
        <v>159</v>
      </c>
      <c r="H7" s="52" t="s">
        <v>381</v>
      </c>
      <c r="I7" s="52" t="s">
        <v>161</v>
      </c>
      <c r="J7" s="52" t="s">
        <v>162</v>
      </c>
      <c r="K7" s="52" t="s">
        <v>163</v>
      </c>
      <c r="L7" s="52" t="s">
        <v>382</v>
      </c>
      <c r="M7" s="52" t="s">
        <v>165</v>
      </c>
      <c r="N7" s="52" t="s">
        <v>383</v>
      </c>
      <c r="O7" s="52" t="s">
        <v>167</v>
      </c>
      <c r="P7" s="52" t="s">
        <v>168</v>
      </c>
      <c r="Q7" s="52" t="s">
        <v>169</v>
      </c>
      <c r="R7" s="52" t="s">
        <v>170</v>
      </c>
      <c r="S7" s="52" t="s">
        <v>171</v>
      </c>
      <c r="T7" s="52" t="s">
        <v>172</v>
      </c>
      <c r="U7" s="52" t="s">
        <v>384</v>
      </c>
      <c r="V7" s="52" t="s">
        <v>385</v>
      </c>
      <c r="W7" s="52" t="s">
        <v>175</v>
      </c>
      <c r="X7" s="52" t="s">
        <v>176</v>
      </c>
      <c r="Y7" s="52" t="s">
        <v>139</v>
      </c>
      <c r="Z7" s="52" t="s">
        <v>177</v>
      </c>
      <c r="AA7" s="52" t="s">
        <v>178</v>
      </c>
      <c r="AB7" s="52" t="s">
        <v>179</v>
      </c>
      <c r="AC7" s="52" t="s">
        <v>386</v>
      </c>
      <c r="AD7" s="52" t="s">
        <v>180</v>
      </c>
      <c r="AE7" s="52" t="s">
        <v>181</v>
      </c>
      <c r="AF7" s="52" t="s">
        <v>182</v>
      </c>
      <c r="AG7" s="52" t="s">
        <v>387</v>
      </c>
      <c r="AH7" s="52" t="s">
        <v>184</v>
      </c>
      <c r="AI7" s="52" t="s">
        <v>185</v>
      </c>
      <c r="AJ7" s="52" t="s">
        <v>558</v>
      </c>
    </row>
    <row r="8" spans="2:36" x14ac:dyDescent="0.2">
      <c r="B8" s="79">
        <v>44927</v>
      </c>
      <c r="C8" s="52">
        <v>3.2888809999999999</v>
      </c>
      <c r="D8" s="52">
        <v>5.4294060000000002</v>
      </c>
      <c r="E8" s="52">
        <v>5.2923239999999998</v>
      </c>
      <c r="F8" s="52">
        <v>3.113861</v>
      </c>
      <c r="G8" s="52">
        <v>4.3396990000000004</v>
      </c>
      <c r="H8" s="52">
        <v>6.9616540000000002</v>
      </c>
      <c r="I8" s="52">
        <v>1.5439000000000001</v>
      </c>
      <c r="J8" s="52">
        <v>1.733754</v>
      </c>
      <c r="K8" s="52">
        <v>3.9845280000000001</v>
      </c>
      <c r="L8" s="52">
        <v>3.773447</v>
      </c>
      <c r="M8" s="52">
        <v>6.850873</v>
      </c>
      <c r="N8" s="52">
        <v>5.2144899999999996</v>
      </c>
      <c r="O8" s="52">
        <v>5.9158970000000002</v>
      </c>
      <c r="P8" s="52">
        <v>3.8076029999999998</v>
      </c>
      <c r="Q8" s="52">
        <v>3.2703739999999999</v>
      </c>
      <c r="R8" s="52">
        <v>2.9549569999999998</v>
      </c>
      <c r="S8" s="52">
        <v>7.7044709999999998</v>
      </c>
      <c r="T8" s="52">
        <v>7.1428419999999999</v>
      </c>
      <c r="U8" s="52">
        <v>11.081697</v>
      </c>
      <c r="V8" s="52">
        <v>3.2112319999999999</v>
      </c>
      <c r="W8" s="52">
        <v>5.6842170000000003</v>
      </c>
      <c r="X8" s="52">
        <v>2.9422929999999998</v>
      </c>
      <c r="Y8" s="52">
        <v>5.913646</v>
      </c>
      <c r="Z8" s="52">
        <v>7.5947459999999998</v>
      </c>
      <c r="AA8" s="52">
        <v>1.0379510000000001</v>
      </c>
      <c r="AB8" s="52">
        <v>2.6447639999999999</v>
      </c>
      <c r="AC8" s="52">
        <v>3.6219350000000001</v>
      </c>
      <c r="AD8" s="52">
        <v>8.0098059999999993</v>
      </c>
      <c r="AE8" s="52">
        <v>4.1452220000000004</v>
      </c>
      <c r="AF8" s="52">
        <v>8.425694</v>
      </c>
      <c r="AG8" s="52">
        <v>2.3062589999999998</v>
      </c>
      <c r="AH8" s="52">
        <v>6.9472569999999996</v>
      </c>
      <c r="AI8" s="52">
        <v>6.8551659999999996</v>
      </c>
      <c r="AJ8" s="52">
        <v>5.649241</v>
      </c>
    </row>
    <row r="9" spans="2:36" x14ac:dyDescent="0.2">
      <c r="B9" s="79">
        <v>44958</v>
      </c>
      <c r="C9" s="52">
        <v>3.3023600000000002</v>
      </c>
      <c r="D9" s="52">
        <v>5.4203580000000002</v>
      </c>
      <c r="E9" s="52">
        <v>5.3027379999999997</v>
      </c>
      <c r="F9" s="52">
        <v>3.3452700000000002</v>
      </c>
      <c r="G9" s="52">
        <v>4.4840390000000001</v>
      </c>
      <c r="H9" s="52">
        <v>7.0984150000000001</v>
      </c>
      <c r="I9" s="52">
        <v>1.8921289999999999</v>
      </c>
      <c r="J9" s="52">
        <v>2.1677360000000001</v>
      </c>
      <c r="K9" s="52">
        <v>4.0239390000000004</v>
      </c>
      <c r="L9" s="52">
        <v>3.8555259999999998</v>
      </c>
      <c r="M9" s="52">
        <v>7.1441379999999999</v>
      </c>
      <c r="N9" s="52">
        <v>6.0246329999999997</v>
      </c>
      <c r="O9" s="52">
        <v>6.1063499999999999</v>
      </c>
      <c r="P9" s="52">
        <v>4.0056760000000002</v>
      </c>
      <c r="Q9" s="52">
        <v>3.565035</v>
      </c>
      <c r="R9" s="52">
        <v>3.3632200000000001</v>
      </c>
      <c r="S9" s="52">
        <v>7.682474</v>
      </c>
      <c r="T9" s="52">
        <v>7.0250469999999998</v>
      </c>
      <c r="U9" s="52">
        <v>11.493823000000001</v>
      </c>
      <c r="V9" s="52">
        <v>3.5002659999999999</v>
      </c>
      <c r="W9" s="52">
        <v>5.6119830000000004</v>
      </c>
      <c r="X9" s="52">
        <v>3.4219110000000001</v>
      </c>
      <c r="Y9" s="52">
        <v>6.1373420000000003</v>
      </c>
      <c r="Z9" s="52">
        <v>7.4702529999999996</v>
      </c>
      <c r="AA9" s="52">
        <v>1.271712</v>
      </c>
      <c r="AB9" s="52">
        <v>2.8706640000000001</v>
      </c>
      <c r="AC9" s="52">
        <v>3.586821</v>
      </c>
      <c r="AD9" s="52">
        <v>8.6249819999999993</v>
      </c>
      <c r="AE9" s="52">
        <v>4.511857</v>
      </c>
      <c r="AF9" s="52">
        <v>9.4329870000000007</v>
      </c>
      <c r="AG9" s="52">
        <v>2.7892260000000002</v>
      </c>
      <c r="AH9" s="52">
        <v>6.1348479999999999</v>
      </c>
      <c r="AI9" s="52">
        <v>8.0419409999999996</v>
      </c>
      <c r="AJ9" s="52">
        <v>5.776491</v>
      </c>
    </row>
    <row r="10" spans="2:36" x14ac:dyDescent="0.2">
      <c r="B10" s="79">
        <v>44986</v>
      </c>
      <c r="C10" s="52">
        <v>3.3401999999999998</v>
      </c>
      <c r="D10" s="52">
        <v>5.4407750000000004</v>
      </c>
      <c r="E10" s="52">
        <v>5.7827570000000001</v>
      </c>
      <c r="F10" s="52">
        <v>3.613626</v>
      </c>
      <c r="G10" s="52">
        <v>4.5506279999999997</v>
      </c>
      <c r="H10" s="52">
        <v>5.9991490000000001</v>
      </c>
      <c r="I10" s="52">
        <v>2.0840070000000002</v>
      </c>
      <c r="J10" s="52">
        <v>2.705889</v>
      </c>
      <c r="K10" s="52">
        <v>4.0582079999999996</v>
      </c>
      <c r="L10" s="52">
        <v>3.6196250000000001</v>
      </c>
      <c r="M10" s="52">
        <v>7.161727</v>
      </c>
      <c r="N10" s="52">
        <v>6.1882950000000001</v>
      </c>
      <c r="O10" s="52">
        <v>6.731338</v>
      </c>
      <c r="P10" s="52">
        <v>4.1805599999999998</v>
      </c>
      <c r="Q10" s="52">
        <v>4.0120630000000004</v>
      </c>
      <c r="R10" s="52">
        <v>3.8760669999999999</v>
      </c>
      <c r="S10" s="52">
        <v>6.8201260000000001</v>
      </c>
      <c r="T10" s="52">
        <v>7.4006860000000003</v>
      </c>
      <c r="U10" s="52">
        <v>12.975968999999999</v>
      </c>
      <c r="V10" s="52">
        <v>4.2729429999999997</v>
      </c>
      <c r="W10" s="52">
        <v>5.9181480000000004</v>
      </c>
      <c r="X10" s="52">
        <v>3.6781229999999998</v>
      </c>
      <c r="Y10" s="52">
        <v>6.3326880000000001</v>
      </c>
      <c r="Z10" s="52">
        <v>7.2376849999999999</v>
      </c>
      <c r="AA10" s="52">
        <v>1.520165</v>
      </c>
      <c r="AB10" s="52">
        <v>3.2504780000000002</v>
      </c>
      <c r="AC10" s="52">
        <v>3.435505</v>
      </c>
      <c r="AD10" s="52">
        <v>9.2001469999999994</v>
      </c>
      <c r="AE10" s="52">
        <v>5.0562959999999997</v>
      </c>
      <c r="AF10" s="52">
        <v>10.630841999999999</v>
      </c>
      <c r="AG10" s="52">
        <v>3.5416629999999998</v>
      </c>
      <c r="AH10" s="52">
        <v>5.3860849999999996</v>
      </c>
      <c r="AI10" s="52">
        <v>8.8893760000000004</v>
      </c>
      <c r="AJ10" s="52">
        <v>6.0168780000000002</v>
      </c>
    </row>
    <row r="11" spans="2:36" x14ac:dyDescent="0.2">
      <c r="B11" s="79">
        <v>45017</v>
      </c>
      <c r="C11" s="52">
        <v>3.463257</v>
      </c>
      <c r="D11" s="52">
        <v>6.1493659999999997</v>
      </c>
      <c r="E11" s="52">
        <v>6.0771240000000004</v>
      </c>
      <c r="F11" s="52">
        <v>3.5132219999999998</v>
      </c>
      <c r="G11" s="52">
        <v>4.5339159999999996</v>
      </c>
      <c r="H11" s="52">
        <v>6.2645609999999996</v>
      </c>
      <c r="I11" s="52">
        <v>2.390943</v>
      </c>
      <c r="J11" s="52">
        <v>3.2308189999999999</v>
      </c>
      <c r="K11" s="52">
        <v>4.2022209999999998</v>
      </c>
      <c r="L11" s="52">
        <v>3.8537020000000002</v>
      </c>
      <c r="M11" s="52">
        <v>7.0834260000000002</v>
      </c>
      <c r="N11" s="52">
        <v>6.4196960000000001</v>
      </c>
      <c r="O11" s="52">
        <v>7.1097720000000004</v>
      </c>
      <c r="P11" s="52">
        <v>4.1483429999999997</v>
      </c>
      <c r="Q11" s="52">
        <v>4.526745</v>
      </c>
      <c r="R11" s="52">
        <v>4.3079390000000002</v>
      </c>
      <c r="S11" s="52">
        <v>5.8856219999999997</v>
      </c>
      <c r="T11" s="52">
        <v>7.2552380000000003</v>
      </c>
      <c r="U11" s="52">
        <v>14.295123999999999</v>
      </c>
      <c r="V11" s="52">
        <v>4.601464</v>
      </c>
      <c r="W11" s="52">
        <v>5.8943979999999998</v>
      </c>
      <c r="X11" s="52">
        <v>4.1126060000000004</v>
      </c>
      <c r="Y11" s="52">
        <v>7.1182410000000003</v>
      </c>
      <c r="Z11" s="52">
        <v>7.4120100000000004</v>
      </c>
      <c r="AA11" s="52">
        <v>2.1414209999999998</v>
      </c>
      <c r="AB11" s="52">
        <v>3.7902870000000002</v>
      </c>
      <c r="AC11" s="52">
        <v>3.3229410000000001</v>
      </c>
      <c r="AD11" s="52">
        <v>10.005255</v>
      </c>
      <c r="AE11" s="52">
        <v>5.6676190000000002</v>
      </c>
      <c r="AF11" s="52">
        <v>12.342147000000001</v>
      </c>
      <c r="AG11" s="52">
        <v>4.2915599999999996</v>
      </c>
      <c r="AH11" s="52">
        <v>5.4419870000000001</v>
      </c>
      <c r="AI11" s="52">
        <v>9.4239580000000007</v>
      </c>
      <c r="AJ11" s="52">
        <v>6.4334239999999996</v>
      </c>
    </row>
    <row r="12" spans="2:36" x14ac:dyDescent="0.2">
      <c r="B12" s="79">
        <v>45047</v>
      </c>
      <c r="C12" s="52">
        <v>3.6215310000000001</v>
      </c>
      <c r="D12" s="52">
        <v>6.9988869999999999</v>
      </c>
      <c r="E12" s="52">
        <v>6.7868550000000001</v>
      </c>
      <c r="F12" s="52">
        <v>4.193365</v>
      </c>
      <c r="G12" s="52">
        <v>4.5224739999999999</v>
      </c>
      <c r="H12" s="52">
        <v>7.3807020000000003</v>
      </c>
      <c r="I12" s="52">
        <v>2.8040419999999999</v>
      </c>
      <c r="J12" s="52">
        <v>3.7228759999999999</v>
      </c>
      <c r="K12" s="52">
        <v>4.6925819999999998</v>
      </c>
      <c r="L12" s="52">
        <v>4.2228399999999997</v>
      </c>
      <c r="M12" s="52">
        <v>7.6896370000000003</v>
      </c>
      <c r="N12" s="52">
        <v>6.9382989999999998</v>
      </c>
      <c r="O12" s="52">
        <v>7.7858809999999998</v>
      </c>
      <c r="P12" s="52">
        <v>4.177473</v>
      </c>
      <c r="Q12" s="52">
        <v>5.1542339999999998</v>
      </c>
      <c r="R12" s="52">
        <v>4.9053800000000001</v>
      </c>
      <c r="S12" s="52">
        <v>4.900366</v>
      </c>
      <c r="T12" s="52">
        <v>8.2537929999999999</v>
      </c>
      <c r="U12" s="52">
        <v>15.136065</v>
      </c>
      <c r="V12" s="52">
        <v>4.939324</v>
      </c>
      <c r="W12" s="52">
        <v>6.081099</v>
      </c>
      <c r="X12" s="52">
        <v>4.6540629999999998</v>
      </c>
      <c r="Y12" s="52">
        <v>8.3625589999999992</v>
      </c>
      <c r="Z12" s="52">
        <v>7.6737200000000003</v>
      </c>
      <c r="AA12" s="52">
        <v>2.4035700000000002</v>
      </c>
      <c r="AB12" s="52">
        <v>4.3896499999999996</v>
      </c>
      <c r="AC12" s="52">
        <v>3.1592150000000001</v>
      </c>
      <c r="AD12" s="52">
        <v>10.549177999999999</v>
      </c>
      <c r="AE12" s="52">
        <v>6.1486299999999998</v>
      </c>
      <c r="AF12" s="52">
        <v>14.259133</v>
      </c>
      <c r="AG12" s="52">
        <v>4.6105590000000003</v>
      </c>
      <c r="AH12" s="52">
        <v>6.1430559999999996</v>
      </c>
      <c r="AI12" s="52">
        <v>11.830957</v>
      </c>
      <c r="AJ12" s="52">
        <v>6.9737039999999997</v>
      </c>
    </row>
    <row r="13" spans="2:36" x14ac:dyDescent="0.2">
      <c r="B13" s="79">
        <v>45078</v>
      </c>
      <c r="C13" s="52">
        <v>4.0964809999999998</v>
      </c>
      <c r="D13" s="52">
        <v>8.1867129999999992</v>
      </c>
      <c r="E13" s="52">
        <v>6.6759409999999999</v>
      </c>
      <c r="F13" s="52">
        <v>4.9693949999999996</v>
      </c>
      <c r="G13" s="52">
        <v>4.6542909999999997</v>
      </c>
      <c r="H13" s="52">
        <v>10.751735</v>
      </c>
      <c r="I13" s="52">
        <v>3.4365130000000002</v>
      </c>
      <c r="J13" s="52">
        <v>4.5529510000000002</v>
      </c>
      <c r="K13" s="52">
        <v>5.1604979999999996</v>
      </c>
      <c r="L13" s="52">
        <v>5.2113959999999997</v>
      </c>
      <c r="M13" s="52">
        <v>8.6253290000000007</v>
      </c>
      <c r="N13" s="52">
        <v>7.635046</v>
      </c>
      <c r="O13" s="52">
        <v>8.4619970000000002</v>
      </c>
      <c r="P13" s="52">
        <v>4.1788780000000001</v>
      </c>
      <c r="Q13" s="52">
        <v>5.8877860000000002</v>
      </c>
      <c r="R13" s="52">
        <v>5.978885</v>
      </c>
      <c r="S13" s="52">
        <v>5.6329349999999998</v>
      </c>
      <c r="T13" s="52">
        <v>9.5738479999999999</v>
      </c>
      <c r="U13" s="52">
        <v>14.726103999999999</v>
      </c>
      <c r="V13" s="52">
        <v>5.1944710000000001</v>
      </c>
      <c r="W13" s="52">
        <v>7.0270820000000001</v>
      </c>
      <c r="X13" s="52">
        <v>5.2615999999999996</v>
      </c>
      <c r="Y13" s="52">
        <v>9.2114349999999998</v>
      </c>
      <c r="Z13" s="52">
        <v>7.6333989999999998</v>
      </c>
      <c r="AA13" s="52">
        <v>3.6486679999999998</v>
      </c>
      <c r="AB13" s="52">
        <v>4.8950519999999997</v>
      </c>
      <c r="AC13" s="52">
        <v>3.5601940000000001</v>
      </c>
      <c r="AD13" s="52">
        <v>10.861787</v>
      </c>
      <c r="AE13" s="52">
        <v>5.6455890000000002</v>
      </c>
      <c r="AF13" s="52">
        <v>15.275898</v>
      </c>
      <c r="AG13" s="52">
        <v>4.8425019999999996</v>
      </c>
      <c r="AH13" s="52">
        <v>6.9977429999999998</v>
      </c>
      <c r="AI13" s="52">
        <v>14.610132999999999</v>
      </c>
      <c r="AJ13" s="52">
        <v>7.3784879999999999</v>
      </c>
    </row>
    <row r="14" spans="2:36" x14ac:dyDescent="0.2">
      <c r="B14" s="79">
        <v>45108</v>
      </c>
      <c r="C14" s="52">
        <v>4.2993730000000001</v>
      </c>
      <c r="D14" s="52">
        <v>8.9687859999999997</v>
      </c>
      <c r="E14" s="52">
        <v>6.466272</v>
      </c>
      <c r="F14" s="52">
        <v>6.1166749999999999</v>
      </c>
      <c r="G14" s="52">
        <v>4.8538019999999999</v>
      </c>
      <c r="H14" s="52">
        <v>13.335416</v>
      </c>
      <c r="I14" s="52">
        <v>4.0892499999999998</v>
      </c>
      <c r="J14" s="52">
        <v>5.6525790000000002</v>
      </c>
      <c r="K14" s="52">
        <v>5.4517660000000001</v>
      </c>
      <c r="L14" s="52">
        <v>5.9744989999999998</v>
      </c>
      <c r="M14" s="52">
        <v>9.4099160000000008</v>
      </c>
      <c r="N14" s="52">
        <v>8.7535270000000001</v>
      </c>
      <c r="O14" s="52">
        <v>9.3176050000000004</v>
      </c>
      <c r="P14" s="52">
        <v>4.3015509999999999</v>
      </c>
      <c r="Q14" s="52">
        <v>5.9666199999999998</v>
      </c>
      <c r="R14" s="52">
        <v>7.208412</v>
      </c>
      <c r="S14" s="52">
        <v>6.677943</v>
      </c>
      <c r="T14" s="52">
        <v>10.999601999999999</v>
      </c>
      <c r="U14" s="52">
        <v>13.708874</v>
      </c>
      <c r="V14" s="52">
        <v>5.5227349999999999</v>
      </c>
      <c r="W14" s="52">
        <v>8.4299409999999995</v>
      </c>
      <c r="X14" s="52">
        <v>5.7636810000000001</v>
      </c>
      <c r="Y14" s="52">
        <v>9.5130579999999991</v>
      </c>
      <c r="Z14" s="52">
        <v>7.0324809999999998</v>
      </c>
      <c r="AA14" s="52">
        <v>4.7845849999999999</v>
      </c>
      <c r="AB14" s="52">
        <v>5.1711270000000003</v>
      </c>
      <c r="AC14" s="52">
        <v>4.1140090000000002</v>
      </c>
      <c r="AD14" s="52">
        <v>10.264277999999999</v>
      </c>
      <c r="AE14" s="52">
        <v>5.1351279999999999</v>
      </c>
      <c r="AF14" s="52">
        <v>14.997045</v>
      </c>
      <c r="AG14" s="52">
        <v>4.8817700000000004</v>
      </c>
      <c r="AH14" s="52">
        <v>6.9253629999999999</v>
      </c>
      <c r="AI14" s="52">
        <v>17.987494000000002</v>
      </c>
      <c r="AJ14" s="52">
        <v>7.6181140000000003</v>
      </c>
    </row>
    <row r="15" spans="2:36" x14ac:dyDescent="0.2">
      <c r="B15" s="79">
        <v>45139</v>
      </c>
      <c r="C15" s="52">
        <v>4.4508229999999998</v>
      </c>
      <c r="D15" s="52">
        <v>9.5382189999999998</v>
      </c>
      <c r="E15" s="52">
        <v>6.3692149999999996</v>
      </c>
      <c r="F15" s="52">
        <v>6.531142</v>
      </c>
      <c r="G15" s="52">
        <v>5.0975549999999998</v>
      </c>
      <c r="H15" s="52">
        <v>15.084892999999999</v>
      </c>
      <c r="I15" s="52">
        <v>4.5173949999999996</v>
      </c>
      <c r="J15" s="52">
        <v>6.8630930000000001</v>
      </c>
      <c r="K15" s="52">
        <v>5.8205809999999998</v>
      </c>
      <c r="L15" s="52">
        <v>6.517601</v>
      </c>
      <c r="M15" s="52">
        <v>9.4390199999999993</v>
      </c>
      <c r="N15" s="52">
        <v>9.5757940000000001</v>
      </c>
      <c r="O15" s="52">
        <v>9.7711009999999998</v>
      </c>
      <c r="P15" s="52">
        <v>4.7100819999999999</v>
      </c>
      <c r="Q15" s="52">
        <v>6.1616109999999997</v>
      </c>
      <c r="R15" s="52">
        <v>7.9872249999999996</v>
      </c>
      <c r="S15" s="52">
        <v>9.0166389999999996</v>
      </c>
      <c r="T15" s="52">
        <v>11.932480999999999</v>
      </c>
      <c r="U15" s="52">
        <v>12.823656</v>
      </c>
      <c r="V15" s="52">
        <v>5.7726819999999996</v>
      </c>
      <c r="W15" s="52">
        <v>9.4200859999999995</v>
      </c>
      <c r="X15" s="52">
        <v>6.6059890000000001</v>
      </c>
      <c r="Y15" s="52">
        <v>9.7324900000000003</v>
      </c>
      <c r="Z15" s="52">
        <v>6.0107689999999998</v>
      </c>
      <c r="AA15" s="52">
        <v>6.3196940000000001</v>
      </c>
      <c r="AB15" s="52">
        <v>5.6309639999999996</v>
      </c>
      <c r="AC15" s="52">
        <v>4.7113719999999999</v>
      </c>
      <c r="AD15" s="52">
        <v>9.9620060000000006</v>
      </c>
      <c r="AE15" s="52">
        <v>4.5146139999999999</v>
      </c>
      <c r="AF15" s="52">
        <v>14.460019000000001</v>
      </c>
      <c r="AG15" s="52">
        <v>5.6688850000000004</v>
      </c>
      <c r="AH15" s="52">
        <v>6.5524870000000002</v>
      </c>
      <c r="AI15" s="52">
        <v>18.797553000000001</v>
      </c>
      <c r="AJ15" s="52">
        <v>7.8275269999999999</v>
      </c>
    </row>
    <row r="16" spans="2:36" x14ac:dyDescent="0.2">
      <c r="B16" s="79">
        <v>45170</v>
      </c>
      <c r="C16" s="52">
        <v>4.4761490000000004</v>
      </c>
      <c r="D16" s="52">
        <v>9.9230319999999992</v>
      </c>
      <c r="E16" s="52">
        <v>6.0527230000000003</v>
      </c>
      <c r="F16" s="52">
        <v>7.6356390000000003</v>
      </c>
      <c r="G16" s="52">
        <v>5.4923120000000001</v>
      </c>
      <c r="H16" s="52">
        <v>15.181279</v>
      </c>
      <c r="I16" s="52">
        <v>5.1595430000000002</v>
      </c>
      <c r="J16" s="52">
        <v>7.5467649999999997</v>
      </c>
      <c r="K16" s="52">
        <v>6.3763319999999997</v>
      </c>
      <c r="L16" s="52">
        <v>7.6462859999999999</v>
      </c>
      <c r="M16" s="52">
        <v>8.9933209999999999</v>
      </c>
      <c r="N16" s="52">
        <v>10.373709</v>
      </c>
      <c r="O16" s="52">
        <v>9.9759089999999997</v>
      </c>
      <c r="P16" s="52">
        <v>5.4856350000000003</v>
      </c>
      <c r="Q16" s="52">
        <v>6.1441730000000003</v>
      </c>
      <c r="R16" s="52">
        <v>7.9971160000000001</v>
      </c>
      <c r="S16" s="52">
        <v>10.433161</v>
      </c>
      <c r="T16" s="52">
        <v>12.955225</v>
      </c>
      <c r="U16" s="52">
        <v>11.466418000000001</v>
      </c>
      <c r="V16" s="52">
        <v>5.8311289999999998</v>
      </c>
      <c r="W16" s="52">
        <v>9.3104250000000004</v>
      </c>
      <c r="X16" s="52">
        <v>7.5325499999999996</v>
      </c>
      <c r="Y16" s="52">
        <v>9.6166800000000006</v>
      </c>
      <c r="Z16" s="52">
        <v>5.1880129999999998</v>
      </c>
      <c r="AA16" s="52">
        <v>7.0670039999999998</v>
      </c>
      <c r="AB16" s="52">
        <v>5.9610149999999997</v>
      </c>
      <c r="AC16" s="52">
        <v>4.7041000000000004</v>
      </c>
      <c r="AD16" s="52">
        <v>9.5551960000000005</v>
      </c>
      <c r="AE16" s="52">
        <v>4.4278310000000003</v>
      </c>
      <c r="AF16" s="52">
        <v>14.229754</v>
      </c>
      <c r="AG16" s="52">
        <v>6.281803</v>
      </c>
      <c r="AH16" s="52">
        <v>6.230505</v>
      </c>
      <c r="AI16" s="52">
        <v>18.441586000000001</v>
      </c>
      <c r="AJ16" s="52">
        <v>7.8805740000000002</v>
      </c>
    </row>
    <row r="17" spans="2:36" x14ac:dyDescent="0.2">
      <c r="B17" s="79">
        <v>45200</v>
      </c>
      <c r="C17" s="52">
        <v>4.7381010000000003</v>
      </c>
      <c r="D17" s="52">
        <v>10.212402000000001</v>
      </c>
      <c r="E17" s="52">
        <v>6.3025180000000001</v>
      </c>
      <c r="F17" s="52">
        <v>8.5051120000000004</v>
      </c>
      <c r="G17" s="52">
        <v>6.0794389999999998</v>
      </c>
      <c r="H17" s="52">
        <v>15.505041</v>
      </c>
      <c r="I17" s="52">
        <v>6.1283519999999996</v>
      </c>
      <c r="J17" s="52">
        <v>7.8824880000000004</v>
      </c>
      <c r="K17" s="52">
        <v>7.0888530000000003</v>
      </c>
      <c r="L17" s="52">
        <v>9.7273350000000001</v>
      </c>
      <c r="M17" s="52">
        <v>8.8042960000000008</v>
      </c>
      <c r="N17" s="52">
        <v>11.059663</v>
      </c>
      <c r="O17" s="52">
        <v>9.7674299999999992</v>
      </c>
      <c r="P17" s="52">
        <v>6.3703279999999998</v>
      </c>
      <c r="Q17" s="52">
        <v>6.787128</v>
      </c>
      <c r="R17" s="52">
        <v>7.8860570000000001</v>
      </c>
      <c r="S17" s="52">
        <v>12.041131999999999</v>
      </c>
      <c r="T17" s="52">
        <v>13.591486</v>
      </c>
      <c r="U17" s="52">
        <v>11.073169</v>
      </c>
      <c r="V17" s="52">
        <v>6.2961029999999996</v>
      </c>
      <c r="W17" s="52">
        <v>8.7719170000000002</v>
      </c>
      <c r="X17" s="52">
        <v>8.4322529999999993</v>
      </c>
      <c r="Y17" s="52">
        <v>10.048779</v>
      </c>
      <c r="Z17" s="52">
        <v>4.5881429999999996</v>
      </c>
      <c r="AA17" s="52">
        <v>7.6810679999999998</v>
      </c>
      <c r="AB17" s="52">
        <v>6.585782</v>
      </c>
      <c r="AC17" s="52">
        <v>4.112692</v>
      </c>
      <c r="AD17" s="52">
        <v>9.4760570000000008</v>
      </c>
      <c r="AE17" s="52">
        <v>4.9941740000000001</v>
      </c>
      <c r="AF17" s="52">
        <v>14.207565000000001</v>
      </c>
      <c r="AG17" s="52">
        <v>7.0537570000000001</v>
      </c>
      <c r="AH17" s="52">
        <v>6.4285100000000002</v>
      </c>
      <c r="AI17" s="52">
        <v>17.191275999999998</v>
      </c>
      <c r="AJ17" s="52">
        <v>8.1845470000000002</v>
      </c>
    </row>
    <row r="18" spans="2:36" x14ac:dyDescent="0.2">
      <c r="B18" s="79">
        <v>45231</v>
      </c>
      <c r="C18" s="52">
        <v>5.236726</v>
      </c>
      <c r="D18" s="52">
        <v>10.322645</v>
      </c>
      <c r="E18" s="52">
        <v>6.3217359999999996</v>
      </c>
      <c r="F18" s="52">
        <v>9.9255849999999999</v>
      </c>
      <c r="G18" s="52">
        <v>6.7941520000000004</v>
      </c>
      <c r="H18" s="52">
        <v>14.804964999999999</v>
      </c>
      <c r="I18" s="52">
        <v>7.3777350000000004</v>
      </c>
      <c r="J18" s="52">
        <v>8.3391529999999996</v>
      </c>
      <c r="K18" s="52">
        <v>7.5759860000000003</v>
      </c>
      <c r="L18" s="52">
        <v>12.571370999999999</v>
      </c>
      <c r="M18" s="52">
        <v>8.7091080000000005</v>
      </c>
      <c r="N18" s="52">
        <v>11.391774</v>
      </c>
      <c r="O18" s="52">
        <v>8.9742169999999994</v>
      </c>
      <c r="P18" s="52">
        <v>7.2342199999999997</v>
      </c>
      <c r="Q18" s="52">
        <v>7.2080359999999999</v>
      </c>
      <c r="R18" s="52">
        <v>8.4778559999999992</v>
      </c>
      <c r="S18" s="52">
        <v>12.605684</v>
      </c>
      <c r="T18" s="52">
        <v>13.736713999999999</v>
      </c>
      <c r="U18" s="52">
        <v>10.485906999999999</v>
      </c>
      <c r="V18" s="52">
        <v>7.167503</v>
      </c>
      <c r="W18" s="52">
        <v>8.3237740000000002</v>
      </c>
      <c r="X18" s="52">
        <v>8.9483049999999995</v>
      </c>
      <c r="Y18" s="52">
        <v>9.7171669999999999</v>
      </c>
      <c r="Z18" s="52">
        <v>3.8798010000000001</v>
      </c>
      <c r="AA18" s="52">
        <v>8.216723</v>
      </c>
      <c r="AB18" s="52">
        <v>7.1531279999999997</v>
      </c>
      <c r="AC18" s="52">
        <v>3.3507180000000001</v>
      </c>
      <c r="AD18" s="52">
        <v>9.1140109999999996</v>
      </c>
      <c r="AE18" s="52">
        <v>5.6620790000000003</v>
      </c>
      <c r="AF18" s="52">
        <v>13.795718000000001</v>
      </c>
      <c r="AG18" s="52">
        <v>7.1976829999999996</v>
      </c>
      <c r="AH18" s="52">
        <v>6.7037839999999997</v>
      </c>
      <c r="AI18" s="52">
        <v>15.319592</v>
      </c>
      <c r="AJ18" s="52">
        <v>8.1366289999999992</v>
      </c>
    </row>
    <row r="19" spans="2:36" x14ac:dyDescent="0.2">
      <c r="B19" s="79">
        <v>45261</v>
      </c>
      <c r="C19" s="52">
        <v>5.6918879999999996</v>
      </c>
      <c r="D19" s="52">
        <v>10.018350999999999</v>
      </c>
      <c r="E19" s="52">
        <v>6.2619420000000003</v>
      </c>
      <c r="F19" s="52">
        <v>10.824593</v>
      </c>
      <c r="G19" s="52">
        <v>7.292135</v>
      </c>
      <c r="H19" s="52">
        <v>13.000586</v>
      </c>
      <c r="I19" s="52">
        <v>8.1393900000000006</v>
      </c>
      <c r="J19" s="52">
        <v>9.0858270000000001</v>
      </c>
      <c r="K19" s="52">
        <v>7.4741150000000003</v>
      </c>
      <c r="L19" s="52">
        <v>14.436443000000001</v>
      </c>
      <c r="M19" s="52">
        <v>8.4652329999999996</v>
      </c>
      <c r="N19" s="52">
        <v>11.368952</v>
      </c>
      <c r="O19" s="52">
        <v>8.4471930000000004</v>
      </c>
      <c r="P19" s="52">
        <v>8.0499709999999993</v>
      </c>
      <c r="Q19" s="52">
        <v>7.4856800000000003</v>
      </c>
      <c r="R19" s="52">
        <v>9.2973060000000007</v>
      </c>
      <c r="S19" s="52">
        <v>12.989710000000001</v>
      </c>
      <c r="T19" s="52">
        <v>13.50736</v>
      </c>
      <c r="U19" s="52">
        <v>10.436088</v>
      </c>
      <c r="V19" s="52">
        <v>8.3237699999999997</v>
      </c>
      <c r="W19" s="52">
        <v>8.2573410000000003</v>
      </c>
      <c r="X19" s="52">
        <v>8.9807570000000005</v>
      </c>
      <c r="Y19" s="52">
        <v>9.6640250000000005</v>
      </c>
      <c r="Z19" s="52">
        <v>3.4811420000000002</v>
      </c>
      <c r="AA19" s="52">
        <v>8.6072100000000002</v>
      </c>
      <c r="AB19" s="52">
        <v>7.6212679999999997</v>
      </c>
      <c r="AC19" s="52">
        <v>2.7232050000000001</v>
      </c>
      <c r="AD19" s="52">
        <v>9.2042009999999994</v>
      </c>
      <c r="AE19" s="52">
        <v>7.8647970000000003</v>
      </c>
      <c r="AF19" s="52">
        <v>13.901249</v>
      </c>
      <c r="AG19" s="52">
        <v>7.5113190000000003</v>
      </c>
      <c r="AH19" s="52">
        <v>6.9274449999999996</v>
      </c>
      <c r="AI19" s="52">
        <v>14.282233</v>
      </c>
      <c r="AJ19" s="52">
        <v>8.1925279999999994</v>
      </c>
    </row>
    <row r="20" spans="2:36" x14ac:dyDescent="0.2">
      <c r="B20" s="79">
        <v>45292</v>
      </c>
      <c r="C20" s="52">
        <v>6.2059430000000004</v>
      </c>
      <c r="D20" s="52">
        <v>9.4856350000000003</v>
      </c>
      <c r="E20" s="52">
        <v>6.1908500000000002</v>
      </c>
      <c r="F20" s="52">
        <v>12.744312000000001</v>
      </c>
      <c r="G20" s="52">
        <v>7.510891</v>
      </c>
      <c r="H20" s="52">
        <v>11.245444000000001</v>
      </c>
      <c r="I20" s="52">
        <v>8.7079000000000004</v>
      </c>
      <c r="J20" s="52">
        <v>9.5656130000000008</v>
      </c>
      <c r="K20" s="52">
        <v>7.0192610000000002</v>
      </c>
      <c r="L20" s="52">
        <v>15.303566</v>
      </c>
      <c r="M20" s="52">
        <v>8.3224490000000007</v>
      </c>
      <c r="N20" s="52">
        <v>11.023463</v>
      </c>
      <c r="O20" s="52">
        <v>7.7248200000000002</v>
      </c>
      <c r="P20" s="52">
        <v>8.7859309999999997</v>
      </c>
      <c r="Q20" s="52">
        <v>7.5727529999999996</v>
      </c>
      <c r="R20" s="52">
        <v>10.033223</v>
      </c>
      <c r="S20" s="52">
        <v>12.677701000000001</v>
      </c>
      <c r="T20" s="52">
        <v>13.058922000000001</v>
      </c>
      <c r="U20" s="52">
        <v>10.081011999999999</v>
      </c>
      <c r="V20" s="52">
        <v>8.8168430000000004</v>
      </c>
      <c r="W20" s="52">
        <v>8.1592649999999995</v>
      </c>
      <c r="X20" s="52">
        <v>8.9699840000000002</v>
      </c>
      <c r="Y20" s="52">
        <v>9.7357139999999998</v>
      </c>
      <c r="Z20" s="52">
        <v>3.200434</v>
      </c>
      <c r="AA20" s="52">
        <v>8.7062200000000001</v>
      </c>
      <c r="AB20" s="52">
        <v>7.8406469999999997</v>
      </c>
      <c r="AC20" s="52">
        <v>2.4424730000000001</v>
      </c>
      <c r="AD20" s="52">
        <v>9.1052900000000001</v>
      </c>
      <c r="AE20" s="52">
        <v>9.2165289999999995</v>
      </c>
      <c r="AF20" s="52">
        <v>13.172326999999999</v>
      </c>
      <c r="AG20" s="52">
        <v>7.5810149999999998</v>
      </c>
      <c r="AH20" s="52">
        <v>7.104514</v>
      </c>
      <c r="AI20" s="52">
        <v>13.853754</v>
      </c>
      <c r="AJ20" s="52">
        <v>8.3530759999999997</v>
      </c>
    </row>
    <row r="21" spans="2:36" x14ac:dyDescent="0.2">
      <c r="B21" s="79">
        <v>45323</v>
      </c>
      <c r="C21" s="52">
        <v>6.7120800000000003</v>
      </c>
      <c r="D21" s="52">
        <v>9.2671510000000001</v>
      </c>
      <c r="E21" s="52">
        <v>6.0714579999999998</v>
      </c>
      <c r="F21" s="52">
        <v>19.749766000000001</v>
      </c>
      <c r="G21" s="52">
        <v>7.5855420000000002</v>
      </c>
      <c r="H21" s="52">
        <v>9.6659000000000006</v>
      </c>
      <c r="I21" s="52">
        <v>9.2254109999999994</v>
      </c>
      <c r="J21" s="52">
        <v>10.336864</v>
      </c>
      <c r="K21" s="52">
        <v>6.7396880000000001</v>
      </c>
      <c r="L21" s="52">
        <v>15.678623999999999</v>
      </c>
      <c r="M21" s="52">
        <v>8.4004429999999992</v>
      </c>
      <c r="N21" s="52">
        <v>10.619828</v>
      </c>
      <c r="O21" s="52">
        <v>8.1347039999999993</v>
      </c>
      <c r="P21" s="52">
        <v>9.3774639999999998</v>
      </c>
      <c r="Q21" s="52">
        <v>7.9564310000000003</v>
      </c>
      <c r="R21" s="52">
        <v>10.454839</v>
      </c>
      <c r="S21" s="52">
        <v>12.092466</v>
      </c>
      <c r="T21" s="52">
        <v>13.833348000000001</v>
      </c>
      <c r="U21" s="52">
        <v>9.3771900000000006</v>
      </c>
      <c r="V21" s="52">
        <v>8.5946750000000005</v>
      </c>
      <c r="W21" s="52">
        <v>8.7752350000000003</v>
      </c>
      <c r="X21" s="52">
        <v>8.9026610000000002</v>
      </c>
      <c r="Y21" s="52">
        <v>10.477062999999999</v>
      </c>
      <c r="Z21" s="52">
        <v>4.8042189999999998</v>
      </c>
      <c r="AA21" s="52">
        <v>8.6216480000000004</v>
      </c>
      <c r="AB21" s="52">
        <v>7.9616680000000004</v>
      </c>
      <c r="AC21" s="52">
        <v>3.8167789999999999</v>
      </c>
      <c r="AD21" s="52">
        <v>9.3432890000000004</v>
      </c>
      <c r="AE21" s="52">
        <v>10.568531</v>
      </c>
      <c r="AF21" s="52">
        <v>13.023344</v>
      </c>
      <c r="AG21" s="52">
        <v>7.5079529999999997</v>
      </c>
      <c r="AH21" s="52">
        <v>7.9998779999999998</v>
      </c>
      <c r="AI21" s="52">
        <v>12.818300000000001</v>
      </c>
      <c r="AJ21" s="52">
        <v>8.7779969999999992</v>
      </c>
    </row>
    <row r="22" spans="2:36" x14ac:dyDescent="0.2">
      <c r="B22" s="79">
        <v>45352</v>
      </c>
      <c r="C22" s="52">
        <v>7.2356030000000002</v>
      </c>
      <c r="D22" s="52">
        <v>9.116619</v>
      </c>
      <c r="E22" s="52">
        <v>6.1098699999999999</v>
      </c>
      <c r="F22" s="52">
        <v>26.309414</v>
      </c>
      <c r="G22" s="52">
        <v>7.6354480000000002</v>
      </c>
      <c r="H22" s="52">
        <v>10.047974999999999</v>
      </c>
      <c r="I22" s="52">
        <v>9.9347480000000008</v>
      </c>
      <c r="J22" s="52">
        <v>10.950703000000001</v>
      </c>
      <c r="K22" s="52">
        <v>6.8140970000000003</v>
      </c>
      <c r="L22" s="52">
        <v>16.084609</v>
      </c>
      <c r="M22" s="52">
        <v>9.9452339999999992</v>
      </c>
      <c r="N22" s="52">
        <v>10.748365</v>
      </c>
      <c r="O22" s="52">
        <v>8.4697429999999994</v>
      </c>
      <c r="P22" s="52">
        <v>9.9102700000000006</v>
      </c>
      <c r="Q22" s="52">
        <v>8.4393860000000007</v>
      </c>
      <c r="R22" s="52">
        <v>10.702769999999999</v>
      </c>
      <c r="S22" s="52">
        <v>12.10177</v>
      </c>
      <c r="T22" s="52">
        <v>14.580304</v>
      </c>
      <c r="U22" s="52">
        <v>9.0099970000000003</v>
      </c>
      <c r="V22" s="52">
        <v>7.7145320000000002</v>
      </c>
      <c r="W22" s="52">
        <v>9.23752</v>
      </c>
      <c r="X22" s="52">
        <v>9.1080579999999998</v>
      </c>
      <c r="Y22" s="52">
        <v>11.170664</v>
      </c>
      <c r="Z22" s="52">
        <v>6.7092140000000002</v>
      </c>
      <c r="AA22" s="52">
        <v>8.8207509999999996</v>
      </c>
      <c r="AB22" s="52">
        <v>7.8833260000000003</v>
      </c>
      <c r="AC22" s="52">
        <v>5.4694880000000001</v>
      </c>
      <c r="AD22" s="52">
        <v>9.2686189999999993</v>
      </c>
      <c r="AE22" s="52">
        <v>10.240527999999999</v>
      </c>
      <c r="AF22" s="52">
        <v>13.032476000000001</v>
      </c>
      <c r="AG22" s="52">
        <v>7.3328810000000004</v>
      </c>
      <c r="AH22" s="52">
        <v>9.2605880000000003</v>
      </c>
      <c r="AI22" s="52">
        <v>12.33845</v>
      </c>
      <c r="AJ22" s="52">
        <v>9.0202939999999998</v>
      </c>
    </row>
    <row r="23" spans="2:36" x14ac:dyDescent="0.2">
      <c r="B23" s="79">
        <v>45383</v>
      </c>
      <c r="C23" s="52">
        <v>7.5206679999999997</v>
      </c>
      <c r="D23" s="52">
        <v>8.6176209999999998</v>
      </c>
      <c r="E23" s="52">
        <v>6.4103139999999996</v>
      </c>
      <c r="F23" s="52">
        <v>31.508611999999999</v>
      </c>
      <c r="G23" s="52">
        <v>7.7435910000000003</v>
      </c>
      <c r="H23" s="52">
        <v>9.6910799999999995</v>
      </c>
      <c r="I23" s="52">
        <v>10.722675000000001</v>
      </c>
      <c r="J23" s="52">
        <v>11.424291999999999</v>
      </c>
      <c r="K23" s="52">
        <v>7.1158570000000001</v>
      </c>
      <c r="L23" s="52">
        <v>16.310434999999998</v>
      </c>
      <c r="M23" s="52">
        <v>11.306805000000001</v>
      </c>
      <c r="N23" s="52">
        <v>10.241002999999999</v>
      </c>
      <c r="O23" s="52">
        <v>9.6366350000000001</v>
      </c>
      <c r="P23" s="52">
        <v>10.143138</v>
      </c>
      <c r="Q23" s="52">
        <v>9.3097770000000004</v>
      </c>
      <c r="R23" s="52">
        <v>11.196336000000001</v>
      </c>
      <c r="S23" s="52">
        <v>12.213531</v>
      </c>
      <c r="T23" s="52">
        <v>15.614411</v>
      </c>
      <c r="U23" s="52">
        <v>8.8507840000000009</v>
      </c>
      <c r="V23" s="52">
        <v>7.1214639999999996</v>
      </c>
      <c r="W23" s="52">
        <v>9.7870399999999993</v>
      </c>
      <c r="X23" s="52">
        <v>9.4478629999999999</v>
      </c>
      <c r="Y23" s="52">
        <v>10.744116999999999</v>
      </c>
      <c r="Z23" s="52">
        <v>8.3077649999999998</v>
      </c>
      <c r="AA23" s="52">
        <v>8.9404140000000005</v>
      </c>
      <c r="AB23" s="52">
        <v>7.9283580000000002</v>
      </c>
      <c r="AC23" s="52">
        <v>6.9922880000000003</v>
      </c>
      <c r="AD23" s="52">
        <v>8.3853869999999997</v>
      </c>
      <c r="AE23" s="52">
        <v>11.017211</v>
      </c>
      <c r="AF23" s="52">
        <v>12.60299</v>
      </c>
      <c r="AG23" s="52">
        <v>7.5556340000000004</v>
      </c>
      <c r="AH23" s="52">
        <v>9.8128069999999994</v>
      </c>
      <c r="AI23" s="52">
        <v>11.593261</v>
      </c>
      <c r="AJ23" s="52">
        <v>8.8355289999999993</v>
      </c>
    </row>
    <row r="24" spans="2:36" x14ac:dyDescent="0.2">
      <c r="B24" s="79">
        <v>45413</v>
      </c>
      <c r="C24" s="52">
        <v>7.9143540000000003</v>
      </c>
      <c r="D24" s="52">
        <v>7.8835040000000003</v>
      </c>
      <c r="E24" s="52">
        <v>6.5114850000000004</v>
      </c>
      <c r="F24" s="52">
        <v>31.589182000000001</v>
      </c>
      <c r="G24" s="52">
        <v>7.7949149999999996</v>
      </c>
      <c r="H24" s="52">
        <v>8.8421269999999996</v>
      </c>
      <c r="I24" s="52">
        <v>11.057555000000001</v>
      </c>
      <c r="J24" s="52">
        <v>11.567271</v>
      </c>
      <c r="K24" s="52">
        <v>7.3617749999999997</v>
      </c>
      <c r="L24" s="52">
        <v>16.323605000000001</v>
      </c>
      <c r="M24" s="52">
        <v>12.347064</v>
      </c>
      <c r="N24" s="52">
        <v>10.649927999999999</v>
      </c>
      <c r="O24" s="52">
        <v>9.9243620000000004</v>
      </c>
      <c r="P24" s="52">
        <v>10.294064000000001</v>
      </c>
      <c r="Q24" s="52">
        <v>9.9139119999999998</v>
      </c>
      <c r="R24" s="52">
        <v>11.511835</v>
      </c>
      <c r="S24" s="52">
        <v>12.690835</v>
      </c>
      <c r="T24" s="52">
        <v>15.298477</v>
      </c>
      <c r="U24" s="52">
        <v>9.176202</v>
      </c>
      <c r="V24" s="52">
        <v>6.669232</v>
      </c>
      <c r="W24" s="52">
        <v>9.7156610000000008</v>
      </c>
      <c r="X24" s="52">
        <v>9.5176750000000006</v>
      </c>
      <c r="Y24" s="52">
        <v>10.091659999999999</v>
      </c>
      <c r="Z24" s="52">
        <v>7.574846</v>
      </c>
      <c r="AA24" s="52">
        <v>9.1876250000000006</v>
      </c>
      <c r="AB24" s="52">
        <v>8.1335320000000007</v>
      </c>
      <c r="AC24" s="52">
        <v>7.3787510000000003</v>
      </c>
      <c r="AD24" s="52">
        <v>7.4691450000000001</v>
      </c>
      <c r="AE24" s="52">
        <v>11.687099999999999</v>
      </c>
      <c r="AF24" s="52">
        <v>11.558343000000001</v>
      </c>
      <c r="AG24" s="52">
        <v>8.0495769999999993</v>
      </c>
      <c r="AH24" s="52">
        <v>9.4795400000000001</v>
      </c>
      <c r="AI24" s="52">
        <v>10.40152</v>
      </c>
      <c r="AJ24" s="52">
        <v>8.6300939999999997</v>
      </c>
    </row>
    <row r="25" spans="2:36" x14ac:dyDescent="0.2">
      <c r="B25" s="79">
        <v>45444</v>
      </c>
      <c r="C25" s="52">
        <v>7.9144170000000003</v>
      </c>
      <c r="D25" s="52">
        <v>6.9716170000000002</v>
      </c>
      <c r="E25" s="52">
        <v>6.6305079999999998</v>
      </c>
      <c r="F25" s="52">
        <v>32.205044000000001</v>
      </c>
      <c r="G25" s="52">
        <v>7.8931079999999998</v>
      </c>
      <c r="H25" s="52">
        <v>6.0127249999999997</v>
      </c>
      <c r="I25" s="52">
        <v>10.846106000000001</v>
      </c>
      <c r="J25" s="52">
        <v>11.429532999999999</v>
      </c>
      <c r="K25" s="52">
        <v>7.9155509999999998</v>
      </c>
      <c r="L25" s="52">
        <v>15.713706</v>
      </c>
      <c r="M25" s="52">
        <v>11.642554000000001</v>
      </c>
      <c r="N25" s="52">
        <v>10.914635000000001</v>
      </c>
      <c r="O25" s="52">
        <v>10.022622</v>
      </c>
      <c r="P25" s="52">
        <v>10.558952</v>
      </c>
      <c r="Q25" s="52">
        <v>10.448067</v>
      </c>
      <c r="R25" s="52">
        <v>12.133792</v>
      </c>
      <c r="S25" s="52">
        <v>12.391772</v>
      </c>
      <c r="T25" s="52">
        <v>14.819782999999999</v>
      </c>
      <c r="U25" s="52">
        <v>8.9476340000000008</v>
      </c>
      <c r="V25" s="52">
        <v>6.4541709999999997</v>
      </c>
      <c r="W25" s="52">
        <v>8.7286769999999994</v>
      </c>
      <c r="X25" s="52">
        <v>9.6932270000000003</v>
      </c>
      <c r="Y25" s="52">
        <v>9.6366519999999998</v>
      </c>
      <c r="Z25" s="52">
        <v>6.4864090000000001</v>
      </c>
      <c r="AA25" s="52">
        <v>8.1764690000000009</v>
      </c>
      <c r="AB25" s="52">
        <v>8.5071560000000002</v>
      </c>
      <c r="AC25" s="52">
        <v>6.9927530000000004</v>
      </c>
      <c r="AD25" s="52">
        <v>6.8000350000000003</v>
      </c>
      <c r="AE25" s="52">
        <v>12.823079</v>
      </c>
      <c r="AF25" s="52">
        <v>10.748119000000001</v>
      </c>
      <c r="AG25" s="52">
        <v>8.6139229999999998</v>
      </c>
      <c r="AH25" s="52">
        <v>8.4592139999999993</v>
      </c>
      <c r="AI25" s="52">
        <v>9.1288780000000003</v>
      </c>
      <c r="AJ25" s="52">
        <v>8.572336</v>
      </c>
    </row>
    <row r="26" spans="2:36" x14ac:dyDescent="0.2">
      <c r="B26" s="79">
        <v>45474</v>
      </c>
      <c r="C26" s="52">
        <v>8.3685939999999999</v>
      </c>
      <c r="D26" s="52">
        <v>6.3089709999999997</v>
      </c>
      <c r="E26" s="52">
        <v>6.4792759999999996</v>
      </c>
      <c r="F26" s="52">
        <v>32.728579000000003</v>
      </c>
      <c r="G26" s="52">
        <v>7.9137839999999997</v>
      </c>
      <c r="H26" s="52">
        <v>4.0062759999999997</v>
      </c>
      <c r="I26" s="52">
        <v>10.632179000000001</v>
      </c>
      <c r="J26" s="52">
        <v>11.236440999999999</v>
      </c>
      <c r="K26" s="52">
        <v>8.5203930000000003</v>
      </c>
      <c r="L26" s="52">
        <v>15.177701000000001</v>
      </c>
      <c r="M26" s="52">
        <v>11.119728</v>
      </c>
      <c r="N26" s="52">
        <v>10.815144</v>
      </c>
      <c r="O26" s="52">
        <v>9.8496629999999996</v>
      </c>
      <c r="P26" s="52">
        <v>10.911493</v>
      </c>
      <c r="Q26" s="52">
        <v>10.700794999999999</v>
      </c>
      <c r="R26" s="52">
        <v>12.417998000000001</v>
      </c>
      <c r="S26" s="52">
        <v>12.291460000000001</v>
      </c>
      <c r="T26" s="52">
        <v>14.277139999999999</v>
      </c>
      <c r="U26" s="52">
        <v>8.8263149999999992</v>
      </c>
      <c r="V26" s="52">
        <v>6.5638829999999997</v>
      </c>
      <c r="W26" s="52">
        <v>8.2262789999999999</v>
      </c>
      <c r="X26" s="52">
        <v>9.6161279999999998</v>
      </c>
      <c r="Y26" s="52">
        <v>9.6325950000000002</v>
      </c>
      <c r="Z26" s="52">
        <v>6.1856809999999998</v>
      </c>
      <c r="AA26" s="52">
        <v>7.2485679999999997</v>
      </c>
      <c r="AB26" s="52">
        <v>9.1170770000000001</v>
      </c>
      <c r="AC26" s="52">
        <v>7.6005580000000004</v>
      </c>
      <c r="AD26" s="52">
        <v>7.0482490000000002</v>
      </c>
      <c r="AE26" s="52">
        <v>13.343114</v>
      </c>
      <c r="AF26" s="52">
        <v>10.227929</v>
      </c>
      <c r="AG26" s="52">
        <v>8.9153129999999994</v>
      </c>
      <c r="AH26" s="52">
        <v>8.2072369999999992</v>
      </c>
      <c r="AI26" s="52">
        <v>7.4364780000000001</v>
      </c>
      <c r="AJ26" s="52">
        <v>8.5318430000000003</v>
      </c>
    </row>
    <row r="27" spans="2:36" x14ac:dyDescent="0.2">
      <c r="B27" s="79">
        <v>45505</v>
      </c>
      <c r="C27" s="52">
        <v>8.8816629999999996</v>
      </c>
      <c r="D27" s="52">
        <v>6.0097560000000003</v>
      </c>
      <c r="E27" s="52">
        <v>6.6117980000000003</v>
      </c>
      <c r="F27" s="52">
        <v>32.59984</v>
      </c>
      <c r="G27" s="52">
        <v>8.0398420000000002</v>
      </c>
      <c r="H27" s="52">
        <v>2.3443450000000001</v>
      </c>
      <c r="I27" s="52">
        <v>10.801339</v>
      </c>
      <c r="J27" s="52">
        <v>11.427607</v>
      </c>
      <c r="K27" s="52">
        <v>9.5294720000000002</v>
      </c>
      <c r="L27" s="52">
        <v>14.965816999999999</v>
      </c>
      <c r="M27" s="52">
        <v>10.970200999999999</v>
      </c>
      <c r="N27" s="52">
        <v>9.7365840000000006</v>
      </c>
      <c r="O27" s="52">
        <v>10.247903000000001</v>
      </c>
      <c r="P27" s="52">
        <v>11.124401000000001</v>
      </c>
      <c r="Q27" s="52">
        <v>10.768848999999999</v>
      </c>
      <c r="R27" s="52">
        <v>11.725155000000001</v>
      </c>
      <c r="S27" s="52">
        <v>11.688268000000001</v>
      </c>
      <c r="T27" s="52">
        <v>13.913694</v>
      </c>
      <c r="U27" s="52">
        <v>8.7213250000000002</v>
      </c>
      <c r="V27" s="52">
        <v>6.774165</v>
      </c>
      <c r="W27" s="52">
        <v>7.61991</v>
      </c>
      <c r="X27" s="52">
        <v>9.4198799999999991</v>
      </c>
      <c r="Y27" s="52">
        <v>9.5187200000000001</v>
      </c>
      <c r="Z27" s="52">
        <v>6.9469029999999998</v>
      </c>
      <c r="AA27" s="52">
        <v>5.9449009999999998</v>
      </c>
      <c r="AB27" s="52">
        <v>9.5042430000000007</v>
      </c>
      <c r="AC27" s="52">
        <v>7.9898119999999997</v>
      </c>
      <c r="AD27" s="52">
        <v>7.7019820000000001</v>
      </c>
      <c r="AE27" s="52">
        <v>13.7102</v>
      </c>
      <c r="AF27" s="52">
        <v>10.071960000000001</v>
      </c>
      <c r="AG27" s="52">
        <v>9.0691640000000007</v>
      </c>
      <c r="AH27" s="52">
        <v>8.3054260000000006</v>
      </c>
      <c r="AI27" s="52">
        <v>6.9288559999999997</v>
      </c>
      <c r="AJ27" s="52">
        <v>8.4006270000000001</v>
      </c>
    </row>
    <row r="28" spans="2:36" x14ac:dyDescent="0.2">
      <c r="B28" s="79">
        <v>45536</v>
      </c>
      <c r="C28" s="52">
        <v>9.5690749999999998</v>
      </c>
      <c r="D28" s="52">
        <v>5.6884269999999999</v>
      </c>
      <c r="E28" s="52">
        <v>7.6531510000000003</v>
      </c>
      <c r="F28" s="52">
        <v>31.042604000000001</v>
      </c>
      <c r="G28" s="52">
        <v>7.9620980000000001</v>
      </c>
      <c r="H28" s="52">
        <v>2.44598</v>
      </c>
      <c r="I28" s="52">
        <v>10.978532</v>
      </c>
      <c r="J28" s="52">
        <v>12.339592</v>
      </c>
      <c r="K28" s="52">
        <v>9.8418080000000003</v>
      </c>
      <c r="L28" s="52">
        <v>13.750621000000001</v>
      </c>
      <c r="M28" s="52">
        <v>11.346885</v>
      </c>
      <c r="N28" s="52">
        <v>9.0190909999999995</v>
      </c>
      <c r="O28" s="52">
        <v>10.141356999999999</v>
      </c>
      <c r="P28" s="52">
        <v>10.898814</v>
      </c>
      <c r="Q28" s="52">
        <v>10.904622</v>
      </c>
      <c r="R28" s="52">
        <v>10.811776999999999</v>
      </c>
      <c r="S28" s="52">
        <v>11.712396</v>
      </c>
      <c r="T28" s="52">
        <v>12.915967999999999</v>
      </c>
      <c r="U28" s="52">
        <v>9.3180040000000002</v>
      </c>
      <c r="V28" s="52">
        <v>7.3009550000000001</v>
      </c>
      <c r="W28" s="52">
        <v>7.8695449999999996</v>
      </c>
      <c r="X28" s="52">
        <v>9.1105680000000007</v>
      </c>
      <c r="Y28" s="52">
        <v>9.7127510000000008</v>
      </c>
      <c r="Z28" s="52">
        <v>7.9450760000000002</v>
      </c>
      <c r="AA28" s="52">
        <v>5.5250760000000003</v>
      </c>
      <c r="AB28" s="52">
        <v>10.114945000000001</v>
      </c>
      <c r="AC28" s="52">
        <v>9.377027</v>
      </c>
      <c r="AD28" s="52">
        <v>8.3102800000000006</v>
      </c>
      <c r="AE28" s="52">
        <v>14.091396</v>
      </c>
      <c r="AF28" s="52">
        <v>9.5614340000000002</v>
      </c>
      <c r="AG28" s="52">
        <v>9.1555730000000004</v>
      </c>
      <c r="AH28" s="52">
        <v>8.5121699999999993</v>
      </c>
      <c r="AI28" s="52">
        <v>6.904102</v>
      </c>
      <c r="AJ28" s="52">
        <v>8.4673130000000008</v>
      </c>
    </row>
    <row r="29" spans="2:36" x14ac:dyDescent="0.2">
      <c r="B29" s="79">
        <v>45566</v>
      </c>
      <c r="C29" s="52">
        <v>10.021326</v>
      </c>
      <c r="D29" s="52">
        <v>5.6506569999999998</v>
      </c>
      <c r="E29" s="52">
        <v>8.4226849999999995</v>
      </c>
      <c r="F29" s="52">
        <v>29.807569999999998</v>
      </c>
      <c r="G29" s="52">
        <v>7.7839679999999998</v>
      </c>
      <c r="H29" s="52">
        <v>3.861478</v>
      </c>
      <c r="I29" s="52">
        <v>10.844194999999999</v>
      </c>
      <c r="J29" s="52">
        <v>13.221492</v>
      </c>
      <c r="K29" s="52">
        <v>9.8583149999999993</v>
      </c>
      <c r="L29" s="52">
        <v>11.509499</v>
      </c>
      <c r="M29" s="52">
        <v>12.040279999999999</v>
      </c>
      <c r="N29" s="52">
        <v>8.9558</v>
      </c>
      <c r="O29" s="52">
        <v>10.669167</v>
      </c>
      <c r="P29" s="52">
        <v>10.772266</v>
      </c>
      <c r="Q29" s="52">
        <v>10.747864</v>
      </c>
      <c r="R29" s="52">
        <v>10.217001</v>
      </c>
      <c r="S29" s="52">
        <v>12.445731</v>
      </c>
      <c r="T29" s="52">
        <v>12.296583999999999</v>
      </c>
      <c r="U29" s="52">
        <v>9.5336739999999995</v>
      </c>
      <c r="V29" s="52">
        <v>7.3938889999999997</v>
      </c>
      <c r="W29" s="52">
        <v>7.7163009999999996</v>
      </c>
      <c r="X29" s="52">
        <v>8.9377960000000005</v>
      </c>
      <c r="Y29" s="52">
        <v>10.218742000000001</v>
      </c>
      <c r="Z29" s="52">
        <v>8.7108260000000008</v>
      </c>
      <c r="AA29" s="52">
        <v>5.1446930000000002</v>
      </c>
      <c r="AB29" s="52">
        <v>10.714079</v>
      </c>
      <c r="AC29" s="52">
        <v>10.855649</v>
      </c>
      <c r="AD29" s="52">
        <v>8.7617820000000002</v>
      </c>
      <c r="AE29" s="52">
        <v>14.161068</v>
      </c>
      <c r="AF29" s="52">
        <v>9.3332580000000007</v>
      </c>
      <c r="AG29" s="52">
        <v>9.4542350000000006</v>
      </c>
      <c r="AH29" s="52">
        <v>8.4422069999999998</v>
      </c>
      <c r="AI29" s="52">
        <v>7.9129849999999999</v>
      </c>
      <c r="AJ29" s="52">
        <v>8.7250990000000002</v>
      </c>
    </row>
    <row r="30" spans="2:36" x14ac:dyDescent="0.2">
      <c r="B30" s="79">
        <v>45597</v>
      </c>
      <c r="C30" s="52">
        <v>10.013695999999999</v>
      </c>
      <c r="D30" s="52">
        <v>5.308433</v>
      </c>
      <c r="E30" s="52">
        <v>9.3152699999999999</v>
      </c>
      <c r="F30" s="52">
        <v>27.837971</v>
      </c>
      <c r="G30" s="52">
        <v>7.5101519999999997</v>
      </c>
      <c r="H30" s="52">
        <v>8.0526710000000001</v>
      </c>
      <c r="I30" s="52">
        <v>10.280601000000001</v>
      </c>
      <c r="J30" s="52">
        <v>14.012570999999999</v>
      </c>
      <c r="K30" s="52">
        <v>9.7050630000000009</v>
      </c>
      <c r="L30" s="52">
        <v>8.9400919999999999</v>
      </c>
      <c r="M30" s="52">
        <v>12.735258999999999</v>
      </c>
      <c r="N30" s="52">
        <v>9.9243450000000006</v>
      </c>
      <c r="O30" s="52">
        <v>11.049879000000001</v>
      </c>
      <c r="P30" s="52">
        <v>10.596511</v>
      </c>
      <c r="Q30" s="52">
        <v>10.782465</v>
      </c>
      <c r="R30" s="52">
        <v>10.409292000000001</v>
      </c>
      <c r="S30" s="52">
        <v>13.599855</v>
      </c>
      <c r="T30" s="52">
        <v>12.312341999999999</v>
      </c>
      <c r="U30" s="52">
        <v>10.751122000000001</v>
      </c>
      <c r="V30" s="52">
        <v>7.208361</v>
      </c>
      <c r="W30" s="52">
        <v>8.6162159999999997</v>
      </c>
      <c r="X30" s="52">
        <v>8.9197299999999995</v>
      </c>
      <c r="Y30" s="52">
        <v>11.494046000000001</v>
      </c>
      <c r="Z30" s="52">
        <v>10.052149</v>
      </c>
      <c r="AA30" s="52">
        <v>4.932207</v>
      </c>
      <c r="AB30" s="52">
        <v>11.369762</v>
      </c>
      <c r="AC30" s="52">
        <v>13.069378</v>
      </c>
      <c r="AD30" s="52">
        <v>8.8796689999999998</v>
      </c>
      <c r="AE30" s="52">
        <v>14.364947000000001</v>
      </c>
      <c r="AF30" s="52">
        <v>9.3090989999999998</v>
      </c>
      <c r="AG30" s="52">
        <v>9.805002</v>
      </c>
      <c r="AH30" s="52">
        <v>8.8437979999999996</v>
      </c>
      <c r="AI30" s="52">
        <v>10.466272</v>
      </c>
      <c r="AJ30" s="52">
        <v>9.2376660000000008</v>
      </c>
    </row>
    <row r="31" spans="2:36" x14ac:dyDescent="0.2">
      <c r="B31" s="79">
        <v>45627</v>
      </c>
      <c r="C31" s="52">
        <v>10.219109</v>
      </c>
      <c r="D31" s="52">
        <v>5.2885289999999996</v>
      </c>
      <c r="E31" s="52">
        <v>9.3168670000000002</v>
      </c>
      <c r="F31" s="52">
        <v>26.433834000000001</v>
      </c>
      <c r="G31" s="52">
        <v>7.1596760000000002</v>
      </c>
      <c r="H31" s="52">
        <v>11.687443</v>
      </c>
      <c r="I31" s="52">
        <v>9.9105310000000006</v>
      </c>
      <c r="J31" s="52">
        <v>14.382521000000001</v>
      </c>
      <c r="K31" s="52">
        <v>10.203642</v>
      </c>
      <c r="L31" s="52">
        <v>7.4270779999999998</v>
      </c>
      <c r="M31" s="52">
        <v>13.470931999999999</v>
      </c>
      <c r="N31" s="52">
        <v>10.522417000000001</v>
      </c>
      <c r="O31" s="52">
        <v>11.803882</v>
      </c>
      <c r="P31" s="52">
        <v>10.259594999999999</v>
      </c>
      <c r="Q31" s="52">
        <v>10.690301</v>
      </c>
      <c r="R31" s="52">
        <v>10.529982</v>
      </c>
      <c r="S31" s="52">
        <v>14.092351000000001</v>
      </c>
      <c r="T31" s="52">
        <v>12.859869</v>
      </c>
      <c r="U31" s="52">
        <v>11.968057999999999</v>
      </c>
      <c r="V31" s="52">
        <v>6.4728890000000003</v>
      </c>
      <c r="W31" s="52">
        <v>9.6135330000000003</v>
      </c>
      <c r="X31" s="52">
        <v>8.830959</v>
      </c>
      <c r="Y31" s="52">
        <v>11.426940999999999</v>
      </c>
      <c r="Z31" s="52">
        <v>10.986238</v>
      </c>
      <c r="AA31" s="52">
        <v>4.7582959999999996</v>
      </c>
      <c r="AB31" s="52">
        <v>11.731731</v>
      </c>
      <c r="AC31" s="52">
        <v>14.671262</v>
      </c>
      <c r="AD31" s="52">
        <v>8.6995459999999998</v>
      </c>
      <c r="AE31" s="52">
        <v>12.953264000000001</v>
      </c>
      <c r="AF31" s="52">
        <v>9.1063949999999991</v>
      </c>
      <c r="AG31" s="52">
        <v>9.9634199999999993</v>
      </c>
      <c r="AH31" s="52">
        <v>9.3084019999999992</v>
      </c>
      <c r="AI31" s="52">
        <v>12.559953</v>
      </c>
      <c r="AJ31" s="52">
        <v>9.142633</v>
      </c>
    </row>
    <row r="32" spans="2:36" x14ac:dyDescent="0.2">
      <c r="B32" s="79">
        <v>45658</v>
      </c>
      <c r="C32" s="52">
        <v>10.211741</v>
      </c>
      <c r="D32" s="52">
        <v>5.6766629999999996</v>
      </c>
      <c r="E32" s="52">
        <v>9.2499540000000007</v>
      </c>
      <c r="F32" s="52">
        <v>23.600258</v>
      </c>
      <c r="G32" s="52">
        <v>6.8746650000000002</v>
      </c>
      <c r="H32" s="52">
        <v>13.938786</v>
      </c>
      <c r="I32" s="52">
        <v>9.4472140000000007</v>
      </c>
      <c r="J32" s="52">
        <v>14.828276000000001</v>
      </c>
      <c r="K32" s="52">
        <v>11.142635</v>
      </c>
      <c r="L32" s="52">
        <v>6.5084229999999996</v>
      </c>
      <c r="M32" s="52">
        <v>13.811847</v>
      </c>
      <c r="N32" s="52">
        <v>11.18187</v>
      </c>
      <c r="O32" s="52">
        <v>12.461778000000001</v>
      </c>
      <c r="P32" s="52">
        <v>9.8197360000000007</v>
      </c>
      <c r="Q32" s="52">
        <v>10.690264000000001</v>
      </c>
      <c r="R32" s="52">
        <v>10.260116999999999</v>
      </c>
      <c r="S32" s="52">
        <v>13.754629</v>
      </c>
      <c r="T32" s="52">
        <v>12.801360000000001</v>
      </c>
      <c r="U32" s="52">
        <v>12.167221</v>
      </c>
      <c r="V32" s="52">
        <v>5.9450760000000002</v>
      </c>
      <c r="W32" s="52">
        <v>10.650397999999999</v>
      </c>
      <c r="X32" s="52">
        <v>8.8138799999999993</v>
      </c>
      <c r="Y32" s="52">
        <v>10.96637</v>
      </c>
      <c r="Z32" s="52">
        <v>11.981892</v>
      </c>
      <c r="AA32" s="52">
        <v>4.8010820000000001</v>
      </c>
      <c r="AB32" s="52">
        <v>11.689875000000001</v>
      </c>
      <c r="AC32" s="52">
        <v>15.466367999999999</v>
      </c>
      <c r="AD32" s="52">
        <v>8.3600530000000006</v>
      </c>
      <c r="AE32" s="52">
        <v>11.560172</v>
      </c>
      <c r="AF32" s="52">
        <v>9.0579169999999998</v>
      </c>
      <c r="AG32" s="52">
        <v>10.025954</v>
      </c>
      <c r="AH32" s="52">
        <v>9.7207889999999999</v>
      </c>
      <c r="AI32" s="52">
        <v>13.423883999999999</v>
      </c>
      <c r="AJ32" s="52">
        <v>8.8310230000000001</v>
      </c>
    </row>
    <row r="33" spans="2:36" x14ac:dyDescent="0.2">
      <c r="B33" s="79">
        <v>45689</v>
      </c>
      <c r="C33" s="52">
        <v>11.065165</v>
      </c>
      <c r="D33" s="52">
        <v>6.1487220000000002</v>
      </c>
      <c r="E33" s="52">
        <v>9.3372639999999993</v>
      </c>
      <c r="F33" s="52">
        <v>15.759763</v>
      </c>
      <c r="G33" s="52">
        <v>6.7156640000000003</v>
      </c>
      <c r="H33" s="52">
        <v>14.244871</v>
      </c>
      <c r="I33" s="52">
        <v>9.0139899999999997</v>
      </c>
      <c r="J33" s="52">
        <v>14.193051000000001</v>
      </c>
      <c r="K33" s="52">
        <v>12.028559</v>
      </c>
      <c r="L33" s="52">
        <v>5.7615489999999996</v>
      </c>
      <c r="M33" s="52">
        <v>13.625629999999999</v>
      </c>
      <c r="N33" s="52">
        <v>11.010111</v>
      </c>
      <c r="O33" s="52">
        <v>12.523026</v>
      </c>
      <c r="P33" s="52">
        <v>9.3775189999999995</v>
      </c>
      <c r="Q33" s="52">
        <v>10.618034</v>
      </c>
      <c r="R33" s="52">
        <v>10.008566</v>
      </c>
      <c r="S33" s="52">
        <v>12.831294</v>
      </c>
      <c r="T33" s="52">
        <v>11.925502</v>
      </c>
      <c r="U33" s="52">
        <v>12.138026</v>
      </c>
      <c r="V33" s="52">
        <v>5.6826749999999997</v>
      </c>
      <c r="W33" s="52">
        <v>10.542828</v>
      </c>
      <c r="X33" s="52">
        <v>8.7090829999999997</v>
      </c>
      <c r="Y33" s="52">
        <v>9.8914059999999999</v>
      </c>
      <c r="Z33" s="52">
        <v>10.610543</v>
      </c>
      <c r="AA33" s="52">
        <v>4.9861779999999998</v>
      </c>
      <c r="AB33" s="52">
        <v>11.708918000000001</v>
      </c>
      <c r="AC33" s="52">
        <v>14.086556</v>
      </c>
      <c r="AD33" s="52">
        <v>7.6576389999999996</v>
      </c>
      <c r="AE33" s="52">
        <v>9.8846159999999994</v>
      </c>
      <c r="AF33" s="52">
        <v>8.4835469999999997</v>
      </c>
      <c r="AG33" s="52">
        <v>10.128079</v>
      </c>
      <c r="AH33" s="52">
        <v>9.2423999999999999</v>
      </c>
      <c r="AI33" s="52">
        <v>12.727183</v>
      </c>
      <c r="AJ33" s="52">
        <v>8.2603489999999997</v>
      </c>
    </row>
    <row r="34" spans="2:36" x14ac:dyDescent="0.2">
      <c r="B34" s="79">
        <v>45717</v>
      </c>
      <c r="C34" s="52">
        <v>11.700922</v>
      </c>
      <c r="D34" s="52">
        <v>6.8561399999999999</v>
      </c>
      <c r="E34" s="52">
        <v>9.3519450000000006</v>
      </c>
      <c r="F34" s="52">
        <v>9.2079909999999998</v>
      </c>
      <c r="G34" s="52">
        <v>6.6774180000000003</v>
      </c>
      <c r="H34" s="52">
        <v>14.142813</v>
      </c>
      <c r="I34" s="52">
        <v>8.4426389999999998</v>
      </c>
      <c r="J34" s="52">
        <v>13.200245000000001</v>
      </c>
      <c r="K34" s="52">
        <v>12.521871000000001</v>
      </c>
      <c r="L34" s="52">
        <v>5.1543190000000001</v>
      </c>
      <c r="M34" s="52">
        <v>12.424348</v>
      </c>
      <c r="N34" s="52">
        <v>11.069585</v>
      </c>
      <c r="O34" s="52">
        <v>12.475555</v>
      </c>
      <c r="P34" s="52">
        <v>8.6676680000000008</v>
      </c>
      <c r="Q34" s="52">
        <v>10.344486</v>
      </c>
      <c r="R34" s="52">
        <v>9.7663650000000004</v>
      </c>
      <c r="S34" s="52">
        <v>11.959298</v>
      </c>
      <c r="T34" s="52">
        <v>10.642582000000001</v>
      </c>
      <c r="U34" s="52">
        <v>10.254936000000001</v>
      </c>
      <c r="V34" s="52">
        <v>5.8147849999999996</v>
      </c>
      <c r="W34" s="52">
        <v>10.240448000000001</v>
      </c>
      <c r="X34" s="52">
        <v>8.5446500000000007</v>
      </c>
      <c r="Y34" s="52">
        <v>9.0646649999999998</v>
      </c>
      <c r="Z34" s="52">
        <v>9.0478839999999998</v>
      </c>
      <c r="AA34" s="52">
        <v>5.6375029999999997</v>
      </c>
      <c r="AB34" s="52">
        <v>11.791472000000001</v>
      </c>
      <c r="AC34" s="52">
        <v>12.679252</v>
      </c>
      <c r="AD34" s="52">
        <v>7.2205599999999999</v>
      </c>
      <c r="AE34" s="52">
        <v>9.5214879999999997</v>
      </c>
      <c r="AF34" s="52">
        <v>7.7320869999999999</v>
      </c>
      <c r="AG34" s="52">
        <v>10.179957999999999</v>
      </c>
      <c r="AH34" s="52">
        <v>8.5217039999999997</v>
      </c>
      <c r="AI34" s="52">
        <v>11.287547999999999</v>
      </c>
      <c r="AJ34" s="52">
        <v>7.8369010000000001</v>
      </c>
    </row>
    <row r="35" spans="2:36" x14ac:dyDescent="0.2">
      <c r="B35" s="79">
        <v>45748</v>
      </c>
      <c r="C35" s="52">
        <v>12.561189000000001</v>
      </c>
      <c r="D35" s="52">
        <v>7.2092890000000001</v>
      </c>
      <c r="E35" s="52">
        <v>9.1673779999999994</v>
      </c>
      <c r="F35" s="52">
        <v>2.7472349999999999</v>
      </c>
      <c r="G35" s="52">
        <v>6.5385580000000001</v>
      </c>
      <c r="H35" s="52">
        <v>13.297931999999999</v>
      </c>
      <c r="I35" s="52">
        <v>7.6321440000000003</v>
      </c>
      <c r="J35" s="52">
        <v>12.398702999999999</v>
      </c>
      <c r="K35" s="52">
        <v>12.231724</v>
      </c>
      <c r="L35" s="52">
        <v>4.6791530000000003</v>
      </c>
      <c r="M35" s="52">
        <v>10.822870999999999</v>
      </c>
      <c r="N35" s="52">
        <v>11.313526</v>
      </c>
      <c r="O35" s="52">
        <v>11.479447</v>
      </c>
      <c r="P35" s="52">
        <v>8.1768389999999993</v>
      </c>
      <c r="Q35" s="52">
        <v>9.9707559999999997</v>
      </c>
      <c r="R35" s="52">
        <v>9.2363400000000002</v>
      </c>
      <c r="S35" s="52">
        <v>11.411733</v>
      </c>
      <c r="T35" s="52">
        <v>9.3639460000000003</v>
      </c>
      <c r="U35" s="52">
        <v>9.3134890000000006</v>
      </c>
      <c r="V35" s="52">
        <v>6.6286430000000003</v>
      </c>
      <c r="W35" s="52">
        <v>9.8507669999999994</v>
      </c>
      <c r="X35" s="52">
        <v>7.8246029999999998</v>
      </c>
      <c r="Y35" s="52">
        <v>8.4253699999999991</v>
      </c>
      <c r="Z35" s="52">
        <v>7.1007579999999999</v>
      </c>
      <c r="AA35" s="52">
        <v>5.9316610000000001</v>
      </c>
      <c r="AB35" s="52">
        <v>11.608530999999999</v>
      </c>
      <c r="AC35" s="52">
        <v>11.931841</v>
      </c>
      <c r="AD35" s="52">
        <v>7.0765339999999997</v>
      </c>
      <c r="AE35" s="52">
        <v>8.0617160000000005</v>
      </c>
      <c r="AF35" s="52">
        <v>6.7727110000000001</v>
      </c>
      <c r="AG35" s="52">
        <v>10.02421</v>
      </c>
      <c r="AH35" s="52">
        <v>7.9257049999999998</v>
      </c>
      <c r="AI35" s="52">
        <v>10.254727000000001</v>
      </c>
      <c r="AJ35" s="52">
        <v>7.4534989999999999</v>
      </c>
    </row>
    <row r="36" spans="2:36" x14ac:dyDescent="0.2">
      <c r="B36" s="79">
        <v>45778</v>
      </c>
      <c r="C36" s="52">
        <v>13.249587999999999</v>
      </c>
      <c r="D36" s="52">
        <v>7.5414469999999998</v>
      </c>
      <c r="E36" s="52">
        <v>10.467616</v>
      </c>
      <c r="F36" s="52">
        <v>-6.9402000000000005E-2</v>
      </c>
      <c r="G36" s="52">
        <v>6.4397979999999997</v>
      </c>
      <c r="H36" s="52">
        <v>11.418977999999999</v>
      </c>
      <c r="I36" s="52">
        <v>7.3595050000000004</v>
      </c>
      <c r="J36" s="52">
        <v>11.934454000000001</v>
      </c>
      <c r="K36" s="52">
        <v>11.783692</v>
      </c>
      <c r="L36" s="52">
        <v>4.1440039999999998</v>
      </c>
      <c r="M36" s="52">
        <v>9.3378370000000004</v>
      </c>
      <c r="N36" s="52">
        <v>10.160372000000001</v>
      </c>
      <c r="O36" s="52">
        <v>10.794658</v>
      </c>
      <c r="P36" s="52">
        <v>7.7338100000000001</v>
      </c>
      <c r="Q36" s="52">
        <v>9.6539859999999997</v>
      </c>
      <c r="R36" s="52">
        <v>8.8655469999999994</v>
      </c>
      <c r="S36" s="52">
        <v>11.230891</v>
      </c>
      <c r="T36" s="52">
        <v>8.1367999999999991</v>
      </c>
      <c r="U36" s="52">
        <v>7.075482</v>
      </c>
      <c r="V36" s="52">
        <v>8.3574210000000004</v>
      </c>
      <c r="W36" s="52">
        <v>10.045006000000001</v>
      </c>
      <c r="X36" s="52">
        <v>7.2989360000000003</v>
      </c>
      <c r="Y36" s="52">
        <v>7.7114690000000001</v>
      </c>
      <c r="Z36" s="52">
        <v>7.0312429999999999</v>
      </c>
      <c r="AA36" s="52">
        <v>7.4265530000000002</v>
      </c>
      <c r="AB36" s="52">
        <v>11.028893999999999</v>
      </c>
      <c r="AC36" s="52">
        <v>12.226856</v>
      </c>
      <c r="AD36" s="52">
        <v>6.3333240000000002</v>
      </c>
      <c r="AE36" s="52">
        <v>6.9711420000000004</v>
      </c>
      <c r="AF36" s="52">
        <v>5.9534019999999996</v>
      </c>
      <c r="AG36" s="52">
        <v>9.6485280000000007</v>
      </c>
      <c r="AH36" s="52">
        <v>7.7245780000000002</v>
      </c>
      <c r="AI36" s="52">
        <v>8.8622320000000006</v>
      </c>
      <c r="AJ36" s="52">
        <v>7.1078460000000003</v>
      </c>
    </row>
    <row r="37" spans="2:36" x14ac:dyDescent="0.2">
      <c r="B37" s="79">
        <v>45809</v>
      </c>
      <c r="C37" s="52">
        <v>13.93845</v>
      </c>
      <c r="D37" s="52">
        <v>7.2887709999999997</v>
      </c>
      <c r="E37" s="52">
        <v>11.710448</v>
      </c>
      <c r="F37" s="52">
        <v>-3.1213129999999998</v>
      </c>
      <c r="G37" s="52">
        <v>6.3477920000000001</v>
      </c>
      <c r="H37" s="52">
        <v>10.601552</v>
      </c>
      <c r="I37" s="52">
        <v>7.3633509999999998</v>
      </c>
      <c r="J37" s="52">
        <v>11.533898000000001</v>
      </c>
      <c r="K37" s="52">
        <v>10.958690000000001</v>
      </c>
      <c r="L37" s="52">
        <v>3.8720349999999999</v>
      </c>
      <c r="M37" s="52">
        <v>9.0000859999999996</v>
      </c>
      <c r="N37" s="52">
        <v>8.8185830000000003</v>
      </c>
      <c r="O37" s="52">
        <v>9.8609559999999998</v>
      </c>
      <c r="P37" s="52">
        <v>7.520454</v>
      </c>
      <c r="Q37" s="52">
        <v>9.3858979999999992</v>
      </c>
      <c r="R37" s="52">
        <v>8.1730800000000006</v>
      </c>
      <c r="S37" s="52">
        <v>11.079922</v>
      </c>
      <c r="T37" s="52">
        <v>7.0944330000000004</v>
      </c>
      <c r="U37" s="52">
        <v>5.9466559999999999</v>
      </c>
      <c r="V37" s="52">
        <v>10.08994</v>
      </c>
      <c r="W37" s="52">
        <v>10.339793999999999</v>
      </c>
      <c r="X37" s="52">
        <v>6.8418369999999999</v>
      </c>
      <c r="Y37" s="52">
        <v>7.2571649999999996</v>
      </c>
      <c r="Z37" s="52">
        <v>7.2302400000000002</v>
      </c>
      <c r="AA37" s="52">
        <v>8.3386139999999997</v>
      </c>
      <c r="AB37" s="52">
        <v>10.341748000000001</v>
      </c>
      <c r="AC37" s="52">
        <v>12.804551999999999</v>
      </c>
      <c r="AD37" s="52">
        <v>5.8182169999999998</v>
      </c>
      <c r="AE37" s="52">
        <v>5.9490879999999997</v>
      </c>
      <c r="AF37" s="52">
        <v>5.3717779999999999</v>
      </c>
      <c r="AG37" s="52">
        <v>9.1389410000000009</v>
      </c>
      <c r="AH37" s="52">
        <v>7.942094</v>
      </c>
      <c r="AI37" s="52">
        <v>7.0691810000000004</v>
      </c>
      <c r="AJ37" s="52">
        <v>6.7337579999999999</v>
      </c>
    </row>
    <row r="38" spans="2:36" x14ac:dyDescent="0.2">
      <c r="B38" s="79">
        <v>45839</v>
      </c>
      <c r="C38" s="52">
        <v>14.028069</v>
      </c>
      <c r="D38" s="52">
        <v>7.0663340000000003</v>
      </c>
      <c r="E38" s="52">
        <v>13.323919</v>
      </c>
      <c r="F38" s="52">
        <v>-5.9199650000000004</v>
      </c>
      <c r="G38" s="52">
        <v>6.0008889999999999</v>
      </c>
      <c r="H38" s="52">
        <v>10.434016</v>
      </c>
      <c r="I38" s="52">
        <v>7.1130909999999998</v>
      </c>
      <c r="J38" s="52">
        <v>10.487448000000001</v>
      </c>
      <c r="K38" s="52">
        <v>10.170952</v>
      </c>
      <c r="L38" s="52">
        <v>3.5996079999999999</v>
      </c>
      <c r="M38" s="52">
        <v>8.5980439999999998</v>
      </c>
      <c r="N38" s="52">
        <v>6.8412430000000004</v>
      </c>
      <c r="O38" s="52">
        <v>9.0809060000000006</v>
      </c>
      <c r="P38" s="52">
        <v>6.956582</v>
      </c>
      <c r="Q38" s="52">
        <v>9.2601379999999995</v>
      </c>
      <c r="R38" s="52">
        <v>7.086379</v>
      </c>
      <c r="S38" s="52">
        <v>10.139378000000001</v>
      </c>
      <c r="T38" s="52">
        <v>6.1015649999999999</v>
      </c>
      <c r="U38" s="52">
        <v>5.162102</v>
      </c>
      <c r="V38" s="52">
        <v>10.349296000000001</v>
      </c>
      <c r="W38" s="52">
        <v>9.8716760000000008</v>
      </c>
      <c r="X38" s="52">
        <v>6.5788440000000001</v>
      </c>
      <c r="Y38" s="52">
        <v>6.2993769999999998</v>
      </c>
      <c r="Z38" s="52">
        <v>6.9180390000000003</v>
      </c>
      <c r="AA38" s="52">
        <v>9.2777170000000009</v>
      </c>
      <c r="AB38" s="52">
        <v>9.5366940000000007</v>
      </c>
      <c r="AC38" s="52">
        <v>11.789643</v>
      </c>
      <c r="AD38" s="52">
        <v>4.8597200000000003</v>
      </c>
      <c r="AE38" s="52">
        <v>5.1623849999999996</v>
      </c>
      <c r="AF38" s="52">
        <v>5.4804729999999999</v>
      </c>
      <c r="AG38" s="52">
        <v>8.0625970000000002</v>
      </c>
      <c r="AH38" s="52">
        <v>7.5212139999999996</v>
      </c>
      <c r="AI38" s="52">
        <v>5.6364299999999998</v>
      </c>
      <c r="AJ38" s="52">
        <v>5.9813789999999996</v>
      </c>
    </row>
    <row r="39" spans="2:36" x14ac:dyDescent="0.2">
      <c r="B39" s="79">
        <v>45870</v>
      </c>
      <c r="C39" s="52">
        <v>13.318225999999999</v>
      </c>
      <c r="D39" s="52">
        <v>6.8124289999999998</v>
      </c>
      <c r="E39" s="52">
        <v>12.634769</v>
      </c>
      <c r="F39" s="52">
        <v>-7.5783649999999998</v>
      </c>
      <c r="G39" s="52">
        <v>5.4568950000000003</v>
      </c>
      <c r="H39" s="52">
        <v>11.638671</v>
      </c>
      <c r="I39" s="52">
        <v>6.4280939999999998</v>
      </c>
      <c r="J39" s="52">
        <v>9.0451940000000004</v>
      </c>
      <c r="K39" s="52">
        <v>8.7910389999999996</v>
      </c>
      <c r="L39" s="52">
        <v>3.3800240000000001</v>
      </c>
      <c r="M39" s="52">
        <v>8.3706040000000002</v>
      </c>
      <c r="N39" s="52">
        <v>6.129327</v>
      </c>
      <c r="O39" s="52">
        <v>8.2573740000000004</v>
      </c>
      <c r="P39" s="52">
        <v>6.3803510000000001</v>
      </c>
      <c r="Q39" s="52">
        <v>9.232818</v>
      </c>
      <c r="R39" s="52">
        <v>5.9969919999999997</v>
      </c>
      <c r="S39" s="52">
        <v>8.5538749999999997</v>
      </c>
      <c r="T39" s="52">
        <v>5.3826960000000001</v>
      </c>
      <c r="U39" s="52">
        <v>5.2807919999999999</v>
      </c>
      <c r="V39" s="52">
        <v>9.8018009999999993</v>
      </c>
      <c r="W39" s="52">
        <v>9.7231349999999992</v>
      </c>
      <c r="X39" s="52">
        <v>6.3516349999999999</v>
      </c>
      <c r="Y39" s="52">
        <v>5.7406430000000004</v>
      </c>
      <c r="Z39" s="52">
        <v>6.2360309999999997</v>
      </c>
      <c r="AA39" s="52">
        <v>8.9999369999999992</v>
      </c>
      <c r="AB39" s="52">
        <v>8.938504</v>
      </c>
      <c r="AC39" s="52">
        <v>10.671436999999999</v>
      </c>
      <c r="AD39" s="52">
        <v>4.0563700000000003</v>
      </c>
      <c r="AE39" s="52">
        <v>4.4670129999999997</v>
      </c>
      <c r="AF39" s="52">
        <v>5.0161910000000001</v>
      </c>
      <c r="AG39" s="52">
        <v>6.6736589999999998</v>
      </c>
      <c r="AH39" s="52">
        <v>6.9369459999999998</v>
      </c>
      <c r="AI39" s="52">
        <v>3.947746</v>
      </c>
      <c r="AJ39" s="52">
        <v>5.7544760000000004</v>
      </c>
    </row>
    <row r="40" spans="2:36" x14ac:dyDescent="0.2">
      <c r="B40" s="79">
        <v>45901</v>
      </c>
      <c r="C40" s="52">
        <v>12.473356000000001</v>
      </c>
      <c r="D40" s="52">
        <v>6.9377219999999999</v>
      </c>
      <c r="E40" s="52">
        <v>11.380741</v>
      </c>
      <c r="F40" s="52">
        <v>-8.8647799999999997</v>
      </c>
      <c r="G40" s="52">
        <v>4.8446160000000003</v>
      </c>
      <c r="H40" s="52">
        <v>11.113944</v>
      </c>
      <c r="I40" s="52">
        <v>5.4616210000000001</v>
      </c>
      <c r="J40" s="52">
        <v>7.0573550000000003</v>
      </c>
      <c r="K40" s="52">
        <v>7.5210689999999998</v>
      </c>
      <c r="L40" s="52">
        <v>3.3954689999999998</v>
      </c>
      <c r="M40" s="52">
        <v>7.6329760000000002</v>
      </c>
      <c r="N40" s="52">
        <v>5.0620789999999998</v>
      </c>
      <c r="O40" s="52">
        <v>7.7393989999999997</v>
      </c>
      <c r="P40" s="52">
        <v>5.680809</v>
      </c>
      <c r="Q40" s="52">
        <v>9.1897859999999998</v>
      </c>
      <c r="R40" s="52">
        <v>5.1178850000000002</v>
      </c>
      <c r="S40" s="52">
        <v>6.4951270000000001</v>
      </c>
      <c r="T40" s="52">
        <v>4.7142429999999997</v>
      </c>
      <c r="U40" s="52">
        <v>5.1402809999999999</v>
      </c>
      <c r="V40" s="52">
        <v>8.6276329999999994</v>
      </c>
      <c r="W40" s="52">
        <v>9.6095349999999993</v>
      </c>
      <c r="X40" s="52">
        <v>5.8377309999999998</v>
      </c>
      <c r="Y40" s="52">
        <v>5.2674370000000001</v>
      </c>
      <c r="Z40" s="52">
        <v>5.6493130000000003</v>
      </c>
      <c r="AA40" s="52">
        <v>8.8831120000000006</v>
      </c>
      <c r="AB40" s="52">
        <v>8.1073120000000003</v>
      </c>
      <c r="AC40" s="52">
        <v>8.700628</v>
      </c>
      <c r="AD40" s="52">
        <v>2.8964530000000002</v>
      </c>
      <c r="AE40" s="52">
        <v>3.616762</v>
      </c>
      <c r="AF40" s="52">
        <v>4.4617019999999998</v>
      </c>
      <c r="AG40" s="52">
        <v>5.4502920000000001</v>
      </c>
      <c r="AH40" s="52">
        <v>6.4437530000000001</v>
      </c>
      <c r="AI40" s="52">
        <v>3.9000620000000001</v>
      </c>
      <c r="AJ40" s="52">
        <v>5.5249059999999997</v>
      </c>
    </row>
    <row r="41" spans="2:36" x14ac:dyDescent="0.2">
      <c r="B41" s="79">
        <v>45931</v>
      </c>
      <c r="C41" s="52">
        <v>11.80531</v>
      </c>
      <c r="D41" s="52">
        <v>6.8809800000000001</v>
      </c>
      <c r="E41" s="52">
        <v>9.8879959999999993</v>
      </c>
      <c r="F41" s="52">
        <v>-8.7912990000000004</v>
      </c>
      <c r="G41" s="52">
        <v>4.4646020000000002</v>
      </c>
      <c r="H41" s="52">
        <v>8.8127469999999999</v>
      </c>
      <c r="I41" s="52">
        <v>4.9266969999999999</v>
      </c>
      <c r="J41" s="52">
        <v>5.2790619999999997</v>
      </c>
      <c r="K41" s="52">
        <v>6.6324699999999996</v>
      </c>
      <c r="L41" s="52">
        <v>3.3079230000000002</v>
      </c>
      <c r="M41" s="52">
        <v>6.4888380000000003</v>
      </c>
      <c r="N41" s="52">
        <v>4.3182520000000002</v>
      </c>
      <c r="O41" s="52">
        <v>6.8594660000000003</v>
      </c>
      <c r="P41" s="52">
        <v>4.891553</v>
      </c>
      <c r="Q41" s="52">
        <v>9.0090179999999993</v>
      </c>
      <c r="R41" s="52">
        <v>4.4807119999999996</v>
      </c>
      <c r="S41" s="52">
        <v>3.8764370000000001</v>
      </c>
      <c r="T41" s="52">
        <v>3.9122270000000001</v>
      </c>
      <c r="U41" s="52">
        <v>4.6905590000000004</v>
      </c>
      <c r="V41" s="52">
        <v>7.9949539999999999</v>
      </c>
      <c r="W41" s="52">
        <v>10.254187999999999</v>
      </c>
      <c r="X41" s="52">
        <v>5.3566710000000004</v>
      </c>
      <c r="Y41" s="52">
        <v>4.2675530000000004</v>
      </c>
      <c r="Z41" s="52">
        <v>5.4573070000000001</v>
      </c>
      <c r="AA41" s="52">
        <v>8.9496669999999998</v>
      </c>
      <c r="AB41" s="52">
        <v>7.0805999999999996</v>
      </c>
      <c r="AC41" s="52">
        <v>7.3550779999999998</v>
      </c>
      <c r="AD41" s="52">
        <v>1.8087009999999999</v>
      </c>
      <c r="AE41" s="52">
        <v>3.3745750000000001</v>
      </c>
      <c r="AF41" s="52">
        <v>3.4795419999999999</v>
      </c>
      <c r="AG41" s="52">
        <v>4.3616070000000002</v>
      </c>
      <c r="AH41" s="52">
        <v>6.4849560000000004</v>
      </c>
      <c r="AI41" s="52">
        <v>3.3705910000000001</v>
      </c>
      <c r="AJ41" s="52">
        <v>5.002936</v>
      </c>
    </row>
    <row r="42" spans="2:36" x14ac:dyDescent="0.2">
      <c r="B42" s="79">
        <v>45962</v>
      </c>
      <c r="C42" s="52">
        <v>11.406167</v>
      </c>
      <c r="D42" s="52">
        <v>6.8734900000000003</v>
      </c>
      <c r="E42" s="52">
        <v>8.9689069999999997</v>
      </c>
      <c r="F42" s="52">
        <v>-8.6630789999999998</v>
      </c>
      <c r="G42" s="52">
        <v>4.0672309999999996</v>
      </c>
      <c r="H42" s="52">
        <v>2.3059880000000001</v>
      </c>
      <c r="I42" s="52">
        <v>4.7026389999999996</v>
      </c>
      <c r="J42" s="52">
        <v>3.642744</v>
      </c>
      <c r="K42" s="52">
        <v>6.1201610000000004</v>
      </c>
      <c r="L42" s="52">
        <v>3.6070090000000001</v>
      </c>
      <c r="M42" s="52">
        <v>5.2872779999999997</v>
      </c>
      <c r="N42" s="52">
        <v>2.35955</v>
      </c>
      <c r="O42" s="52">
        <v>6.0419840000000002</v>
      </c>
      <c r="P42" s="52">
        <v>4.1659889999999997</v>
      </c>
      <c r="Q42" s="52">
        <v>8.3428520000000006</v>
      </c>
      <c r="R42" s="52">
        <v>3.7114989999999999</v>
      </c>
      <c r="S42" s="52">
        <v>2.1600389999999998</v>
      </c>
      <c r="T42" s="52">
        <v>3.0811310000000001</v>
      </c>
      <c r="U42" s="52">
        <v>3.0160390000000001</v>
      </c>
      <c r="V42" s="52">
        <v>7.0547810000000002</v>
      </c>
      <c r="W42" s="52">
        <v>9.7530999999999999</v>
      </c>
      <c r="X42" s="52">
        <v>4.5009620000000004</v>
      </c>
      <c r="Y42" s="52">
        <v>2.8047040000000001</v>
      </c>
      <c r="Z42" s="52">
        <v>4.5595809999999997</v>
      </c>
      <c r="AA42" s="52">
        <v>8.8683910000000008</v>
      </c>
      <c r="AB42" s="52">
        <v>5.947997</v>
      </c>
      <c r="AC42" s="52">
        <v>6.0786559999999996</v>
      </c>
      <c r="AD42" s="52">
        <v>1.8247850000000001</v>
      </c>
      <c r="AE42" s="52">
        <v>3.0689090000000001</v>
      </c>
      <c r="AF42" s="52">
        <v>3.1269840000000002</v>
      </c>
      <c r="AG42" s="52">
        <v>3.5242170000000002</v>
      </c>
      <c r="AH42" s="52">
        <v>6.523396</v>
      </c>
      <c r="AI42" s="52">
        <v>2.5648330000000001</v>
      </c>
      <c r="AJ42" s="52">
        <v>4.3647390000000001</v>
      </c>
    </row>
    <row r="43" spans="2:36" x14ac:dyDescent="0.2">
      <c r="B43" s="79">
        <v>45992</v>
      </c>
      <c r="C43" s="52">
        <v>10.888097</v>
      </c>
      <c r="D43" s="52">
        <v>6.7697779999999996</v>
      </c>
      <c r="E43" s="52">
        <v>8.9454720000000005</v>
      </c>
      <c r="F43" s="52">
        <v>-8.5646959999999996</v>
      </c>
      <c r="G43" s="52">
        <v>3.7864550000000001</v>
      </c>
      <c r="H43" s="52">
        <v>-3.244691</v>
      </c>
      <c r="I43" s="52">
        <v>4.5908340000000001</v>
      </c>
      <c r="J43" s="52">
        <v>2.5323910000000001</v>
      </c>
      <c r="K43" s="52">
        <v>5.8001370000000003</v>
      </c>
      <c r="L43" s="52">
        <v>3.848589</v>
      </c>
      <c r="M43" s="52">
        <v>4.2751939999999999</v>
      </c>
      <c r="N43" s="52">
        <v>0.61711700000000003</v>
      </c>
      <c r="O43" s="52">
        <v>4.7076820000000001</v>
      </c>
      <c r="P43" s="52">
        <v>3.650741</v>
      </c>
      <c r="Q43" s="52">
        <v>7.8170539999999997</v>
      </c>
      <c r="R43" s="52">
        <v>2.9997929999999999</v>
      </c>
      <c r="S43" s="52">
        <v>1.1072310000000001</v>
      </c>
      <c r="T43" s="52">
        <v>2.0224869999999999</v>
      </c>
      <c r="U43" s="52">
        <v>1.5582320000000001</v>
      </c>
      <c r="V43" s="52">
        <v>6.5444699999999996</v>
      </c>
      <c r="W43" s="52">
        <v>9.0783319999999996</v>
      </c>
      <c r="X43" s="52">
        <v>3.9256169999999999</v>
      </c>
      <c r="Y43" s="52">
        <v>2.0851139999999999</v>
      </c>
      <c r="Z43" s="52">
        <v>3.6071979999999999</v>
      </c>
      <c r="AA43" s="52">
        <v>8.6797699999999995</v>
      </c>
      <c r="AB43" s="52">
        <v>4.9663409999999999</v>
      </c>
      <c r="AC43" s="52">
        <v>5.044581</v>
      </c>
      <c r="AD43" s="52">
        <v>1.86632</v>
      </c>
      <c r="AE43" s="52">
        <v>2.9839229999999999</v>
      </c>
      <c r="AF43" s="52">
        <v>2.5962879999999999</v>
      </c>
      <c r="AG43" s="52">
        <v>2.7923269999999998</v>
      </c>
      <c r="AH43" s="52">
        <v>6.3165969999999998</v>
      </c>
      <c r="AI43" s="52">
        <v>0.15299299999999999</v>
      </c>
      <c r="AJ43" s="52">
        <v>3.943508</v>
      </c>
    </row>
    <row r="44" spans="2:36" x14ac:dyDescent="0.2">
      <c r="B44" s="79">
        <v>46023</v>
      </c>
      <c r="C44" s="52">
        <v>10.406366</v>
      </c>
      <c r="D44" s="52">
        <v>6.3457129999999999</v>
      </c>
      <c r="E44" s="52">
        <v>9.0932030000000008</v>
      </c>
      <c r="F44" s="52">
        <v>-8.2629540000000006</v>
      </c>
      <c r="G44" s="52">
        <v>3.7115429999999998</v>
      </c>
      <c r="H44" s="52">
        <v>-7.786524</v>
      </c>
      <c r="I44" s="52">
        <v>4.5566769999999996</v>
      </c>
      <c r="J44" s="52">
        <v>1.408118</v>
      </c>
      <c r="K44" s="52">
        <v>5.1986119999999998</v>
      </c>
      <c r="L44" s="52">
        <v>4.1930399999999999</v>
      </c>
      <c r="M44" s="52">
        <v>3.3077220000000001</v>
      </c>
      <c r="N44" s="52">
        <v>-0.96985900000000003</v>
      </c>
      <c r="O44" s="52">
        <v>3.5976490000000001</v>
      </c>
      <c r="P44" s="52">
        <v>3.3067069999999998</v>
      </c>
      <c r="Q44" s="52">
        <v>7.2467639999999998</v>
      </c>
      <c r="R44" s="52">
        <v>2.5315690000000002</v>
      </c>
      <c r="S44" s="52">
        <v>1.0904480000000001</v>
      </c>
      <c r="T44" s="52">
        <v>1.139243</v>
      </c>
      <c r="U44" s="52">
        <v>0.39245099999999999</v>
      </c>
      <c r="V44" s="52">
        <v>5.3890380000000002</v>
      </c>
      <c r="W44" s="52">
        <v>7.8185589999999996</v>
      </c>
      <c r="X44" s="52">
        <v>3.1965159999999999</v>
      </c>
      <c r="Y44" s="52">
        <v>1.065167</v>
      </c>
      <c r="Z44">
        <v>2.4381919999999999</v>
      </c>
      <c r="AA44">
        <v>8.5875869999999992</v>
      </c>
      <c r="AB44">
        <v>4.5098719999999997</v>
      </c>
      <c r="AC44">
        <v>5.1749299999999998</v>
      </c>
      <c r="AD44">
        <v>1.9189229999999999</v>
      </c>
      <c r="AE44">
        <v>2.9030930000000001</v>
      </c>
      <c r="AF44">
        <v>2.085966</v>
      </c>
      <c r="AG44">
        <v>2.3094130000000002</v>
      </c>
      <c r="AH44">
        <v>5.5300880000000001</v>
      </c>
      <c r="AI44">
        <v>-3.1321479999999999</v>
      </c>
      <c r="AJ44" s="52">
        <v>3.4538959999999999</v>
      </c>
    </row>
    <row r="45" spans="2:36" x14ac:dyDescent="0.2">
      <c r="B45" s="79">
        <v>46054</v>
      </c>
      <c r="C45" s="52">
        <v>8.9669170000000005</v>
      </c>
      <c r="D45" s="52">
        <v>5.8430119999999999</v>
      </c>
      <c r="E45" s="52">
        <v>8.4718199999999992</v>
      </c>
      <c r="F45" s="52">
        <v>-7.5728499999999999</v>
      </c>
      <c r="G45" s="52">
        <v>3.6774140000000002</v>
      </c>
      <c r="H45" s="52">
        <v>-7.4796329999999998</v>
      </c>
      <c r="I45" s="52">
        <v>4.1500769999999996</v>
      </c>
      <c r="J45" s="52">
        <v>1.0611379999999999</v>
      </c>
      <c r="K45" s="52">
        <v>4.7787009999999999</v>
      </c>
      <c r="L45" s="52">
        <v>4.2929870000000001</v>
      </c>
      <c r="M45" s="52">
        <v>2.892007</v>
      </c>
      <c r="N45" s="52">
        <v>-0.83541600000000005</v>
      </c>
      <c r="O45" s="52">
        <v>2.883864</v>
      </c>
      <c r="P45" s="52">
        <v>3.1139610000000002</v>
      </c>
      <c r="Q45" s="52">
        <v>6.5929169999999999</v>
      </c>
      <c r="R45" s="52">
        <v>2.0983890000000001</v>
      </c>
      <c r="S45" s="52">
        <v>1.5458989999999999</v>
      </c>
      <c r="T45" s="52">
        <v>1.4570879999999999</v>
      </c>
      <c r="U45" s="52">
        <v>-0.42958800000000003</v>
      </c>
      <c r="V45" s="52">
        <v>4.407254</v>
      </c>
      <c r="W45" s="52">
        <v>7.2136509999999996</v>
      </c>
      <c r="X45" s="52">
        <v>2.8059129999999999</v>
      </c>
      <c r="Y45" s="52">
        <v>1.69489</v>
      </c>
      <c r="Z45">
        <v>1.900163</v>
      </c>
      <c r="AA45">
        <v>8.4903250000000003</v>
      </c>
      <c r="AB45">
        <v>4.0942290000000003</v>
      </c>
      <c r="AC45">
        <v>5.6998629999999997</v>
      </c>
      <c r="AD45">
        <v>1.6662079999999999</v>
      </c>
      <c r="AE45">
        <v>2.6848019999999999</v>
      </c>
      <c r="AF45">
        <v>1.7681750000000001</v>
      </c>
      <c r="AG45">
        <v>2.1059899999999998</v>
      </c>
      <c r="AH45">
        <v>4.9839909999999996</v>
      </c>
      <c r="AI45">
        <v>-4.593451</v>
      </c>
      <c r="AJ45" s="52">
        <v>3.5527700000000002</v>
      </c>
    </row>
    <row r="46" spans="2:36" x14ac:dyDescent="0.2">
      <c r="B46" s="79">
        <v>46082</v>
      </c>
      <c r="C46" s="52">
        <v>7.6098229999999996</v>
      </c>
      <c r="D46" s="52">
        <v>4.8882310000000002</v>
      </c>
      <c r="E46" s="52">
        <v>7.6121220000000003</v>
      </c>
      <c r="F46" s="52">
        <v>-6.4589650000000001</v>
      </c>
      <c r="G46" s="52">
        <v>3.6222889999999999</v>
      </c>
      <c r="H46" s="52">
        <v>-6.5290330000000001</v>
      </c>
      <c r="I46" s="52">
        <v>3.8621020000000001</v>
      </c>
      <c r="J46" s="52">
        <v>0.88726300000000002</v>
      </c>
      <c r="K46" s="52">
        <v>4.2522760000000002</v>
      </c>
      <c r="L46" s="52">
        <v>4.1932270000000003</v>
      </c>
      <c r="M46" s="52">
        <v>2.5281120000000001</v>
      </c>
      <c r="N46" s="52">
        <v>-0.50254399999999999</v>
      </c>
      <c r="O46" s="52">
        <v>2.5992959999999998</v>
      </c>
      <c r="P46" s="52">
        <v>3.0423819999999999</v>
      </c>
      <c r="Q46" s="52">
        <v>5.9930450000000004</v>
      </c>
      <c r="R46" s="52">
        <v>1.835218</v>
      </c>
      <c r="S46" s="52">
        <v>1.982545</v>
      </c>
      <c r="T46" s="52">
        <v>2.3978329999999999</v>
      </c>
      <c r="U46" s="52">
        <v>-1.0833710000000001</v>
      </c>
      <c r="V46" s="52">
        <v>3.4665659999999998</v>
      </c>
      <c r="W46" s="52">
        <v>6.7326620000000004</v>
      </c>
      <c r="X46" s="52">
        <v>2.6021779999999999</v>
      </c>
      <c r="Y46" s="52">
        <v>1.664625</v>
      </c>
      <c r="Z46">
        <v>1.681063</v>
      </c>
      <c r="AA46">
        <v>7.66526</v>
      </c>
      <c r="AB46">
        <v>3.7246570000000001</v>
      </c>
      <c r="AC46">
        <v>6.4336200000000003</v>
      </c>
      <c r="AD46">
        <v>1.3007930000000001</v>
      </c>
      <c r="AE46">
        <v>2.503098</v>
      </c>
      <c r="AF46">
        <v>1.7590980000000001</v>
      </c>
      <c r="AG46">
        <v>1.851143</v>
      </c>
      <c r="AH46">
        <v>4.2409049999999997</v>
      </c>
      <c r="AI46">
        <v>-4.7209300000000001</v>
      </c>
      <c r="AJ46" s="52">
        <v>3.4448059999999998</v>
      </c>
    </row>
  </sheetData>
  <hyperlinks>
    <hyperlink ref="C4" r:id="rId1" display="Homelet Rental Price Tracker" xr:uid="{0C232A65-9180-4E36-BEF3-D03A77E16206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8C4E-C95C-488E-A4F8-D64786BC0FBB}">
  <dimension ref="B2:F29"/>
  <sheetViews>
    <sheetView zoomScale="95" zoomScaleNormal="95" workbookViewId="0">
      <selection activeCell="A2" sqref="A2:XFD5"/>
    </sheetView>
  </sheetViews>
  <sheetFormatPr baseColWidth="10" defaultColWidth="9.28515625" defaultRowHeight="16" x14ac:dyDescent="0.2"/>
  <cols>
    <col min="1" max="16384" width="9.28515625" style="1"/>
  </cols>
  <sheetData>
    <row r="2" spans="2:6" x14ac:dyDescent="0.2">
      <c r="B2" s="1" t="s">
        <v>1</v>
      </c>
      <c r="C2" s="1" t="s">
        <v>388</v>
      </c>
    </row>
    <row r="3" spans="2:6" x14ac:dyDescent="0.2">
      <c r="B3" s="1" t="s">
        <v>85</v>
      </c>
    </row>
    <row r="4" spans="2:6" x14ac:dyDescent="0.2">
      <c r="B4" s="1" t="s">
        <v>87</v>
      </c>
      <c r="C4" s="2" t="s">
        <v>389</v>
      </c>
    </row>
    <row r="5" spans="2:6" x14ac:dyDescent="0.2">
      <c r="B5" s="1" t="s">
        <v>89</v>
      </c>
    </row>
    <row r="7" spans="2:6" x14ac:dyDescent="0.2">
      <c r="B7" s="6" t="s">
        <v>390</v>
      </c>
      <c r="C7" s="6" t="s">
        <v>139</v>
      </c>
      <c r="D7" s="6" t="s">
        <v>391</v>
      </c>
      <c r="E7" s="6" t="s">
        <v>392</v>
      </c>
      <c r="F7" s="6" t="s">
        <v>393</v>
      </c>
    </row>
    <row r="8" spans="2:6" x14ac:dyDescent="0.2">
      <c r="B8" s="8" t="s">
        <v>394</v>
      </c>
      <c r="C8" s="9">
        <v>-0.03</v>
      </c>
      <c r="D8" s="9">
        <v>-6.8000000000000005E-2</v>
      </c>
      <c r="E8" s="9">
        <v>8.0000000000000002E-3</v>
      </c>
      <c r="F8" s="9">
        <v>2.4E-2</v>
      </c>
    </row>
    <row r="9" spans="2:6" x14ac:dyDescent="0.2">
      <c r="B9" s="8" t="s">
        <v>395</v>
      </c>
      <c r="C9" s="9">
        <v>-6.4000000000000001E-2</v>
      </c>
      <c r="D9" s="9">
        <v>-0.124</v>
      </c>
      <c r="E9" s="9">
        <v>0</v>
      </c>
      <c r="F9" s="9">
        <v>3.6999999999999998E-2</v>
      </c>
    </row>
    <row r="10" spans="2:6" x14ac:dyDescent="0.2">
      <c r="B10" s="8" t="s">
        <v>396</v>
      </c>
      <c r="C10" s="9">
        <v>-7.8192938836399772E-2</v>
      </c>
      <c r="D10" s="9">
        <v>-0.14000000000000001</v>
      </c>
      <c r="E10" s="9">
        <v>-1.0999999999999999E-2</v>
      </c>
      <c r="F10" s="9">
        <v>4.2000000000000003E-2</v>
      </c>
    </row>
    <row r="11" spans="2:6" x14ac:dyDescent="0.2">
      <c r="B11" s="8" t="s">
        <v>397</v>
      </c>
      <c r="C11" s="9">
        <v>-3.0830432620586823E-2</v>
      </c>
      <c r="D11" s="9">
        <v>-6.8000000000000005E-2</v>
      </c>
      <c r="E11" s="9">
        <v>8.0000000000000002E-3</v>
      </c>
      <c r="F11" s="9">
        <v>6.2E-2</v>
      </c>
    </row>
    <row r="12" spans="2:6" x14ac:dyDescent="0.2">
      <c r="B12" s="8" t="s">
        <v>398</v>
      </c>
      <c r="C12" s="9">
        <v>2.7E-2</v>
      </c>
      <c r="D12" s="9">
        <v>2.5999999999999999E-2</v>
      </c>
      <c r="E12" s="9">
        <v>2.7E-2</v>
      </c>
      <c r="F12" s="9">
        <v>8.5999999999999993E-2</v>
      </c>
    </row>
    <row r="13" spans="2:6" x14ac:dyDescent="0.2">
      <c r="B13" s="8" t="s">
        <v>399</v>
      </c>
      <c r="C13" s="9">
        <v>0.109</v>
      </c>
      <c r="D13" s="9">
        <v>0.16200000000000001</v>
      </c>
      <c r="E13" s="9">
        <v>5.7999999999999996E-2</v>
      </c>
      <c r="F13" s="9">
        <v>9.9000000000000005E-2</v>
      </c>
    </row>
    <row r="14" spans="2:6" x14ac:dyDescent="0.2">
      <c r="B14" s="8" t="s">
        <v>400</v>
      </c>
      <c r="C14" s="9">
        <v>0.14299999999999999</v>
      </c>
      <c r="D14" s="9">
        <v>0.20699999999999999</v>
      </c>
      <c r="E14" s="9">
        <v>8.1000000000000003E-2</v>
      </c>
      <c r="F14" s="9">
        <v>0.108</v>
      </c>
    </row>
    <row r="15" spans="2:6" x14ac:dyDescent="0.2">
      <c r="B15" s="8" t="s">
        <v>401</v>
      </c>
      <c r="C15" s="9">
        <v>0.158</v>
      </c>
      <c r="D15" s="9">
        <v>0.21099999999999999</v>
      </c>
      <c r="E15" s="9">
        <v>0.108</v>
      </c>
      <c r="F15" s="9">
        <v>0.11799999999999999</v>
      </c>
    </row>
    <row r="16" spans="2:6" x14ac:dyDescent="0.2">
      <c r="B16" s="8" t="s">
        <v>402</v>
      </c>
      <c r="C16" s="9">
        <v>0.161</v>
      </c>
      <c r="D16" s="9">
        <v>0.193</v>
      </c>
      <c r="E16" s="9">
        <v>0.129</v>
      </c>
      <c r="F16" s="9">
        <v>0.11</v>
      </c>
    </row>
    <row r="17" spans="2:6" x14ac:dyDescent="0.2">
      <c r="B17" s="8" t="s">
        <v>403</v>
      </c>
      <c r="C17" s="9">
        <v>0.157</v>
      </c>
      <c r="D17" s="9">
        <v>0.16800000000000001</v>
      </c>
      <c r="E17" s="9">
        <v>0.14599999999999999</v>
      </c>
      <c r="F17" s="9">
        <v>9.6999999999999989E-2</v>
      </c>
    </row>
    <row r="18" spans="2:6" x14ac:dyDescent="0.2">
      <c r="B18" s="8" t="s">
        <v>404</v>
      </c>
      <c r="C18" s="9">
        <v>0.14000000000000001</v>
      </c>
      <c r="D18" s="9">
        <v>0.14000000000000001</v>
      </c>
      <c r="E18" s="9">
        <v>0.14199999999999999</v>
      </c>
      <c r="F18" s="9">
        <v>9.4E-2</v>
      </c>
    </row>
    <row r="19" spans="2:6" x14ac:dyDescent="0.2">
      <c r="B19" s="8" t="s">
        <v>405</v>
      </c>
      <c r="C19" s="9">
        <v>0.1373504652193176</v>
      </c>
      <c r="D19" s="9">
        <v>0.13590790939472708</v>
      </c>
      <c r="E19" s="9">
        <v>0.13887454827052137</v>
      </c>
      <c r="F19" s="9">
        <v>9.2999999999999999E-2</v>
      </c>
    </row>
    <row r="20" spans="2:6" x14ac:dyDescent="0.2">
      <c r="B20" s="8" t="s">
        <v>406</v>
      </c>
      <c r="C20" s="9">
        <v>0.121</v>
      </c>
      <c r="D20" s="9">
        <v>0.11600000000000001</v>
      </c>
      <c r="E20" s="9">
        <v>0.128</v>
      </c>
      <c r="F20" s="9">
        <v>0.1</v>
      </c>
    </row>
    <row r="21" spans="2:6" x14ac:dyDescent="0.2">
      <c r="B21" s="8" t="s">
        <v>407</v>
      </c>
      <c r="C21" s="9">
        <v>6.0999999999999999E-2</v>
      </c>
      <c r="D21" s="9">
        <v>3.4000000000000002E-2</v>
      </c>
      <c r="E21" s="9">
        <v>0.09</v>
      </c>
      <c r="F21" s="9">
        <v>9.1999999999999998E-2</v>
      </c>
    </row>
    <row r="22" spans="2:6" x14ac:dyDescent="0.2">
      <c r="B22" s="8" t="s">
        <v>408</v>
      </c>
      <c r="C22" s="10">
        <v>5.2999999999999999E-2</v>
      </c>
      <c r="D22" s="10">
        <v>2.8000000000000001E-2</v>
      </c>
      <c r="E22" s="10">
        <v>7.8E-2</v>
      </c>
      <c r="F22" s="10">
        <v>8.5000000000000006E-2</v>
      </c>
    </row>
    <row r="23" spans="2:6" x14ac:dyDescent="0.2">
      <c r="B23" s="8" t="s">
        <v>409</v>
      </c>
      <c r="C23" s="10">
        <v>3.6999999999999998E-2</v>
      </c>
      <c r="D23" s="10">
        <v>2.4E-2</v>
      </c>
      <c r="E23" s="10">
        <v>5.0999999999999997E-2</v>
      </c>
      <c r="F23" s="10">
        <v>6.8000000000000005E-2</v>
      </c>
    </row>
    <row r="24" spans="2:6" x14ac:dyDescent="0.2">
      <c r="B24" s="8" t="s">
        <v>410</v>
      </c>
      <c r="C24" s="10">
        <v>2.5000000000000001E-2</v>
      </c>
      <c r="D24" s="9">
        <v>1.6E-2</v>
      </c>
      <c r="E24" s="10">
        <v>3.4000000000000002E-2</v>
      </c>
      <c r="F24" s="10">
        <v>5.1999999999999998E-2</v>
      </c>
    </row>
    <row r="25" spans="2:6" x14ac:dyDescent="0.2">
      <c r="B25" s="8" t="s">
        <v>411</v>
      </c>
      <c r="C25" s="10">
        <v>2.4E-2</v>
      </c>
      <c r="D25" s="9">
        <v>2.1999999999999999E-2</v>
      </c>
      <c r="E25" s="9">
        <v>2.7E-2</v>
      </c>
      <c r="F25" s="10">
        <v>4.7E-2</v>
      </c>
    </row>
    <row r="26" spans="2:6" x14ac:dyDescent="0.2">
      <c r="B26" s="8" t="s">
        <v>412</v>
      </c>
      <c r="C26" s="10">
        <v>2.5000000000000001E-2</v>
      </c>
      <c r="D26" s="9">
        <v>2.5000000000000001E-2</v>
      </c>
      <c r="E26" s="10">
        <v>2.5000000000000001E-2</v>
      </c>
      <c r="F26" s="10">
        <v>4.4999999999999998E-2</v>
      </c>
    </row>
    <row r="27" spans="2:6" x14ac:dyDescent="0.2">
      <c r="B27" s="8" t="s">
        <v>413</v>
      </c>
      <c r="C27" s="10">
        <v>1.9E-2</v>
      </c>
      <c r="D27" s="10">
        <v>1.9E-2</v>
      </c>
      <c r="E27" s="10">
        <v>1.9E-2</v>
      </c>
      <c r="F27" s="10">
        <v>3.9E-2</v>
      </c>
    </row>
    <row r="28" spans="2:6" x14ac:dyDescent="0.2">
      <c r="B28" s="8" t="s">
        <v>414</v>
      </c>
      <c r="C28" s="10">
        <v>1.6E-2</v>
      </c>
      <c r="D28" s="9">
        <v>1.3999999999999999E-2</v>
      </c>
      <c r="E28" s="10">
        <v>1.8000000000000002E-2</v>
      </c>
      <c r="F28" s="10">
        <v>3.1E-2</v>
      </c>
    </row>
    <row r="29" spans="2:6" x14ac:dyDescent="0.2">
      <c r="B29" s="8" t="s">
        <v>415</v>
      </c>
      <c r="C29" s="10">
        <v>8.0000000000000002E-3</v>
      </c>
      <c r="D29" s="10">
        <v>5.0000000000000001E-3</v>
      </c>
      <c r="E29" s="10">
        <v>1.0999999999999999E-2</v>
      </c>
      <c r="F29" s="10">
        <v>2.1999999999999999E-2</v>
      </c>
    </row>
  </sheetData>
  <hyperlinks>
    <hyperlink ref="C4" r:id="rId1" display="Homelet Rental Price Tracker" xr:uid="{5D393008-CED9-41A5-9F5C-81F53CA3116D}"/>
  </hyperlinks>
  <pageMargins left="0.7" right="0.7" top="0.75" bottom="0.75" header="0.3" footer="0.3"/>
  <pageSetup paperSize="9" orientation="portrait" horizontalDpi="0" verticalDpi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0C84-6ADD-41B3-9F1C-98CA377EA922}">
  <dimension ref="A2:F150"/>
  <sheetViews>
    <sheetView tabSelected="1" topLeftCell="A119" zoomScale="91" workbookViewId="0">
      <selection activeCell="E154" sqref="E154"/>
    </sheetView>
  </sheetViews>
  <sheetFormatPr baseColWidth="10" defaultColWidth="7.5703125" defaultRowHeight="16" x14ac:dyDescent="0.2"/>
  <cols>
    <col min="1" max="3" width="7.5703125" style="1"/>
    <col min="4" max="4" width="13.140625" style="1" customWidth="1"/>
    <col min="5" max="5" width="9.5703125" style="1" customWidth="1"/>
    <col min="6" max="6" width="12.7109375" style="1" customWidth="1"/>
    <col min="7" max="16384" width="7.5703125" style="1"/>
  </cols>
  <sheetData>
    <row r="2" spans="1:6" x14ac:dyDescent="0.2">
      <c r="B2" s="1" t="s">
        <v>1</v>
      </c>
      <c r="C2" s="1" t="s">
        <v>416</v>
      </c>
    </row>
    <row r="3" spans="1:6" x14ac:dyDescent="0.2">
      <c r="B3" s="1" t="s">
        <v>85</v>
      </c>
    </row>
    <row r="4" spans="1:6" x14ac:dyDescent="0.2">
      <c r="B4" s="1" t="s">
        <v>87</v>
      </c>
      <c r="C4" s="2" t="s">
        <v>417</v>
      </c>
    </row>
    <row r="5" spans="1:6" x14ac:dyDescent="0.2">
      <c r="B5" s="1" t="s">
        <v>89</v>
      </c>
    </row>
    <row r="7" spans="1:6" x14ac:dyDescent="0.2">
      <c r="A7" s="2"/>
    </row>
    <row r="8" spans="1:6" x14ac:dyDescent="0.2">
      <c r="B8" s="11" t="s">
        <v>379</v>
      </c>
      <c r="C8" s="12" t="s">
        <v>418</v>
      </c>
      <c r="D8" s="12" t="s">
        <v>419</v>
      </c>
      <c r="E8" s="6" t="s">
        <v>420</v>
      </c>
      <c r="F8" s="6" t="s">
        <v>421</v>
      </c>
    </row>
    <row r="9" spans="1:6" x14ac:dyDescent="0.2">
      <c r="B9" s="13">
        <v>41821</v>
      </c>
      <c r="C9" s="14">
        <v>836.40060000000005</v>
      </c>
      <c r="D9" s="14">
        <v>1395</v>
      </c>
      <c r="E9" s="8"/>
      <c r="F9" s="8"/>
    </row>
    <row r="10" spans="1:6" x14ac:dyDescent="0.2">
      <c r="B10" s="13">
        <v>41852</v>
      </c>
      <c r="C10" s="14">
        <v>845.59230000000002</v>
      </c>
      <c r="D10" s="14">
        <v>1418</v>
      </c>
      <c r="E10" s="8"/>
      <c r="F10" s="8"/>
    </row>
    <row r="11" spans="1:6" x14ac:dyDescent="0.2">
      <c r="B11" s="13">
        <v>41883</v>
      </c>
      <c r="C11" s="14">
        <v>843.88430000000005</v>
      </c>
      <c r="D11" s="14">
        <v>1411</v>
      </c>
      <c r="E11" s="8"/>
      <c r="F11" s="8"/>
    </row>
    <row r="12" spans="1:6" x14ac:dyDescent="0.2">
      <c r="B12" s="13">
        <v>41913</v>
      </c>
      <c r="C12" s="14">
        <v>841.84699999999998</v>
      </c>
      <c r="D12" s="14">
        <v>1400</v>
      </c>
      <c r="E12" s="8"/>
      <c r="F12" s="8"/>
    </row>
    <row r="13" spans="1:6" x14ac:dyDescent="0.2">
      <c r="B13" s="13">
        <v>41944</v>
      </c>
      <c r="C13" s="14">
        <v>839.55790000000002</v>
      </c>
      <c r="D13" s="14">
        <v>1386</v>
      </c>
      <c r="E13" s="8"/>
      <c r="F13" s="8"/>
    </row>
    <row r="14" spans="1:6" x14ac:dyDescent="0.2">
      <c r="B14" s="13">
        <v>41974</v>
      </c>
      <c r="C14" s="14">
        <v>844.97329999999999</v>
      </c>
      <c r="D14" s="14">
        <v>1402</v>
      </c>
      <c r="E14" s="8"/>
      <c r="F14" s="8"/>
    </row>
    <row r="15" spans="1:6" x14ac:dyDescent="0.2">
      <c r="B15" s="13">
        <v>42005</v>
      </c>
      <c r="C15" s="14">
        <v>848.60140000000001</v>
      </c>
      <c r="D15" s="14">
        <v>1413</v>
      </c>
      <c r="E15" s="8"/>
      <c r="F15" s="8"/>
    </row>
    <row r="16" spans="1:6" x14ac:dyDescent="0.2">
      <c r="B16" s="13">
        <v>42036</v>
      </c>
      <c r="C16" s="14">
        <v>853.00829999999996</v>
      </c>
      <c r="D16" s="14">
        <v>1428</v>
      </c>
      <c r="E16" s="8"/>
      <c r="F16" s="8"/>
    </row>
    <row r="17" spans="2:6" x14ac:dyDescent="0.2">
      <c r="B17" s="13">
        <v>42064</v>
      </c>
      <c r="C17" s="14">
        <v>854.6567</v>
      </c>
      <c r="D17" s="14">
        <v>1430</v>
      </c>
      <c r="E17" s="8"/>
      <c r="F17" s="8"/>
    </row>
    <row r="18" spans="2:6" x14ac:dyDescent="0.2">
      <c r="B18" s="13">
        <v>42095</v>
      </c>
      <c r="C18" s="14">
        <v>861.50580000000002</v>
      </c>
      <c r="D18" s="14">
        <v>1454</v>
      </c>
      <c r="E18" s="8"/>
      <c r="F18" s="8"/>
    </row>
    <row r="19" spans="2:6" x14ac:dyDescent="0.2">
      <c r="B19" s="13">
        <v>42125</v>
      </c>
      <c r="C19" s="14">
        <v>864.44380000000001</v>
      </c>
      <c r="D19" s="14">
        <v>1459</v>
      </c>
      <c r="E19" s="8"/>
      <c r="F19" s="8"/>
    </row>
    <row r="20" spans="2:6" x14ac:dyDescent="0.2">
      <c r="B20" s="13">
        <v>42156</v>
      </c>
      <c r="C20" s="14">
        <v>868.85730000000001</v>
      </c>
      <c r="D20" s="14">
        <v>1473</v>
      </c>
      <c r="E20" s="8"/>
      <c r="F20" s="8"/>
    </row>
    <row r="21" spans="2:6" x14ac:dyDescent="0.2">
      <c r="B21" s="13">
        <v>42186</v>
      </c>
      <c r="C21" s="14">
        <v>875.14949999999999</v>
      </c>
      <c r="D21" s="14">
        <v>1468</v>
      </c>
      <c r="E21" s="15">
        <f>C21/C9-1</f>
        <v>4.6328159018537152E-2</v>
      </c>
      <c r="F21" s="15">
        <f>D21/D9-1</f>
        <v>5.2329749103942724E-2</v>
      </c>
    </row>
    <row r="22" spans="2:6" x14ac:dyDescent="0.2">
      <c r="B22" s="13">
        <v>42217</v>
      </c>
      <c r="C22" s="14">
        <v>881.50289999999995</v>
      </c>
      <c r="D22" s="14">
        <v>1484</v>
      </c>
      <c r="E22" s="15">
        <f t="shared" ref="E22:F37" si="0">C22/C10-1</f>
        <v>4.2467983684335797E-2</v>
      </c>
      <c r="F22" s="15">
        <f t="shared" si="0"/>
        <v>4.6544428772919533E-2</v>
      </c>
    </row>
    <row r="23" spans="2:6" x14ac:dyDescent="0.2">
      <c r="B23" s="13">
        <v>42248</v>
      </c>
      <c r="C23" s="14">
        <v>880.3184</v>
      </c>
      <c r="D23" s="14">
        <v>1504</v>
      </c>
      <c r="E23" s="15">
        <f t="shared" si="0"/>
        <v>4.3174283488861986E-2</v>
      </c>
      <c r="F23" s="15">
        <f t="shared" si="0"/>
        <v>6.5910701630049529E-2</v>
      </c>
    </row>
    <row r="24" spans="2:6" x14ac:dyDescent="0.2">
      <c r="B24" s="13">
        <v>42278</v>
      </c>
      <c r="C24" s="14">
        <v>874.31700000000001</v>
      </c>
      <c r="D24" s="14">
        <v>1502</v>
      </c>
      <c r="E24" s="15">
        <f t="shared" si="0"/>
        <v>3.856995392274376E-2</v>
      </c>
      <c r="F24" s="15">
        <f t="shared" si="0"/>
        <v>7.2857142857142954E-2</v>
      </c>
    </row>
    <row r="25" spans="2:6" x14ac:dyDescent="0.2">
      <c r="B25" s="13">
        <v>42309</v>
      </c>
      <c r="C25" s="14">
        <v>872.49149999999997</v>
      </c>
      <c r="D25" s="14">
        <v>1495</v>
      </c>
      <c r="E25" s="15">
        <f t="shared" si="0"/>
        <v>3.9227312374762846E-2</v>
      </c>
      <c r="F25" s="15">
        <f t="shared" si="0"/>
        <v>7.8643578643578627E-2</v>
      </c>
    </row>
    <row r="26" spans="2:6" x14ac:dyDescent="0.2">
      <c r="B26" s="13">
        <v>42339</v>
      </c>
      <c r="C26" s="14">
        <v>877.13160000000005</v>
      </c>
      <c r="D26" s="14">
        <v>1479</v>
      </c>
      <c r="E26" s="15">
        <f t="shared" si="0"/>
        <v>3.805836231748394E-2</v>
      </c>
      <c r="F26" s="15">
        <f t="shared" si="0"/>
        <v>5.4921540656205359E-2</v>
      </c>
    </row>
    <row r="27" spans="2:6" x14ac:dyDescent="0.2">
      <c r="B27" s="13">
        <v>42370</v>
      </c>
      <c r="C27" s="14">
        <v>881.88819999999998</v>
      </c>
      <c r="D27" s="14">
        <v>1489</v>
      </c>
      <c r="E27" s="15">
        <f t="shared" si="0"/>
        <v>3.9225483248083171E-2</v>
      </c>
      <c r="F27" s="15">
        <f t="shared" si="0"/>
        <v>5.3786270346779963E-2</v>
      </c>
    </row>
    <row r="28" spans="2:6" x14ac:dyDescent="0.2">
      <c r="B28" s="13">
        <v>42401</v>
      </c>
      <c r="C28" s="14">
        <v>887.71230000000003</v>
      </c>
      <c r="D28" s="14">
        <v>1515</v>
      </c>
      <c r="E28" s="15">
        <f t="shared" si="0"/>
        <v>4.0684246565947824E-2</v>
      </c>
      <c r="F28" s="15">
        <f t="shared" si="0"/>
        <v>6.0924369747899165E-2</v>
      </c>
    </row>
    <row r="29" spans="2:6" x14ac:dyDescent="0.2">
      <c r="B29" s="13">
        <v>42430</v>
      </c>
      <c r="C29" s="14">
        <v>894.42359999999996</v>
      </c>
      <c r="D29" s="14">
        <v>1530</v>
      </c>
      <c r="E29" s="15">
        <f t="shared" si="0"/>
        <v>4.6529676769631489E-2</v>
      </c>
      <c r="F29" s="15">
        <f t="shared" si="0"/>
        <v>6.9930069930070005E-2</v>
      </c>
    </row>
    <row r="30" spans="2:6" x14ac:dyDescent="0.2">
      <c r="B30" s="13">
        <v>42461</v>
      </c>
      <c r="C30" s="14">
        <v>900.15779999999995</v>
      </c>
      <c r="D30" s="14">
        <v>1539</v>
      </c>
      <c r="E30" s="15">
        <f t="shared" si="0"/>
        <v>4.4865629459488243E-2</v>
      </c>
      <c r="F30" s="15">
        <f t="shared" si="0"/>
        <v>5.8459422283356322E-2</v>
      </c>
    </row>
    <row r="31" spans="2:6" x14ac:dyDescent="0.2">
      <c r="B31" s="13">
        <v>42491</v>
      </c>
      <c r="C31" s="14">
        <v>903.971</v>
      </c>
      <c r="D31" s="14">
        <v>1549</v>
      </c>
      <c r="E31" s="15">
        <f t="shared" si="0"/>
        <v>4.5725586787712436E-2</v>
      </c>
      <c r="F31" s="15">
        <f t="shared" si="0"/>
        <v>6.1686086360520864E-2</v>
      </c>
    </row>
    <row r="32" spans="2:6" x14ac:dyDescent="0.2">
      <c r="B32" s="13">
        <v>42522</v>
      </c>
      <c r="C32" s="14">
        <v>909.82920000000001</v>
      </c>
      <c r="D32" s="14">
        <v>1564</v>
      </c>
      <c r="E32" s="15">
        <f t="shared" si="0"/>
        <v>4.7156074996435038E-2</v>
      </c>
      <c r="F32" s="15">
        <f t="shared" si="0"/>
        <v>6.1778682959945597E-2</v>
      </c>
    </row>
    <row r="33" spans="2:6" x14ac:dyDescent="0.2">
      <c r="B33" s="13">
        <v>42552</v>
      </c>
      <c r="C33" s="14">
        <v>915.0797</v>
      </c>
      <c r="D33" s="14">
        <v>1573</v>
      </c>
      <c r="E33" s="15">
        <f t="shared" si="0"/>
        <v>4.5626718634930397E-2</v>
      </c>
      <c r="F33" s="15">
        <f t="shared" si="0"/>
        <v>7.1525885558583191E-2</v>
      </c>
    </row>
    <row r="34" spans="2:6" x14ac:dyDescent="0.2">
      <c r="B34" s="13">
        <v>42583</v>
      </c>
      <c r="C34" s="14">
        <v>916.52729999999997</v>
      </c>
      <c r="D34" s="14">
        <v>1569</v>
      </c>
      <c r="E34" s="15">
        <f t="shared" si="0"/>
        <v>3.9732597589866137E-2</v>
      </c>
      <c r="F34" s="15">
        <f t="shared" si="0"/>
        <v>5.727762803234504E-2</v>
      </c>
    </row>
    <row r="35" spans="2:6" x14ac:dyDescent="0.2">
      <c r="B35" s="13">
        <v>42614</v>
      </c>
      <c r="C35" s="14">
        <v>908</v>
      </c>
      <c r="D35" s="14">
        <v>1563</v>
      </c>
      <c r="E35" s="15">
        <f t="shared" si="0"/>
        <v>3.1444986268604591E-2</v>
      </c>
      <c r="F35" s="15">
        <f t="shared" si="0"/>
        <v>3.9228723404255428E-2</v>
      </c>
    </row>
    <row r="36" spans="2:6" x14ac:dyDescent="0.2">
      <c r="B36" s="13">
        <v>42644</v>
      </c>
      <c r="C36" s="14">
        <v>900.92190000000005</v>
      </c>
      <c r="D36" s="14">
        <v>1547</v>
      </c>
      <c r="E36" s="15">
        <f t="shared" si="0"/>
        <v>3.0429352282982158E-2</v>
      </c>
      <c r="F36" s="15">
        <f t="shared" si="0"/>
        <v>2.9960053262316988E-2</v>
      </c>
    </row>
    <row r="37" spans="2:6" x14ac:dyDescent="0.2">
      <c r="B37" s="13">
        <v>42675</v>
      </c>
      <c r="C37" s="14">
        <v>897.97199999999998</v>
      </c>
      <c r="D37" s="14">
        <v>1533</v>
      </c>
      <c r="E37" s="15">
        <f t="shared" si="0"/>
        <v>2.9204295973084049E-2</v>
      </c>
      <c r="F37" s="15">
        <f t="shared" si="0"/>
        <v>2.5418060200668835E-2</v>
      </c>
    </row>
    <row r="38" spans="2:6" x14ac:dyDescent="0.2">
      <c r="B38" s="13">
        <v>42705</v>
      </c>
      <c r="C38" s="14">
        <v>892.16830000000004</v>
      </c>
      <c r="D38" s="14">
        <v>1509</v>
      </c>
      <c r="E38" s="15">
        <f t="shared" ref="E38:F53" si="1">C38/C26-1</f>
        <v>1.7143037601199174E-2</v>
      </c>
      <c r="F38" s="15">
        <f t="shared" si="1"/>
        <v>2.0283975659229236E-2</v>
      </c>
    </row>
    <row r="39" spans="2:6" x14ac:dyDescent="0.2">
      <c r="B39" s="13">
        <v>42736</v>
      </c>
      <c r="C39" s="14">
        <v>888.22559999999999</v>
      </c>
      <c r="D39" s="14">
        <v>1497</v>
      </c>
      <c r="E39" s="15">
        <f t="shared" si="1"/>
        <v>7.1861716711936197E-3</v>
      </c>
      <c r="F39" s="15">
        <f t="shared" si="1"/>
        <v>5.3727333781061759E-3</v>
      </c>
    </row>
    <row r="40" spans="2:6" x14ac:dyDescent="0.2">
      <c r="B40" s="13">
        <v>42767</v>
      </c>
      <c r="C40" s="14">
        <v>894.88260000000002</v>
      </c>
      <c r="D40" s="14">
        <v>1520</v>
      </c>
      <c r="E40" s="15">
        <f t="shared" si="1"/>
        <v>8.0772790914354076E-3</v>
      </c>
      <c r="F40" s="15">
        <f t="shared" si="1"/>
        <v>3.3003300330032292E-3</v>
      </c>
    </row>
    <row r="41" spans="2:6" x14ac:dyDescent="0.2">
      <c r="B41" s="13">
        <v>42795</v>
      </c>
      <c r="C41" s="14">
        <v>904.46140000000003</v>
      </c>
      <c r="D41" s="14">
        <v>1546</v>
      </c>
      <c r="E41" s="15">
        <f t="shared" si="1"/>
        <v>1.1222646629628352E-2</v>
      </c>
      <c r="F41" s="15">
        <f t="shared" si="1"/>
        <v>1.0457516339869244E-2</v>
      </c>
    </row>
    <row r="42" spans="2:6" x14ac:dyDescent="0.2">
      <c r="B42" s="13">
        <v>42826</v>
      </c>
      <c r="C42" s="14">
        <v>903.90290000000005</v>
      </c>
      <c r="D42" s="14">
        <v>1519</v>
      </c>
      <c r="E42" s="15">
        <f t="shared" si="1"/>
        <v>4.160492749160305E-3</v>
      </c>
      <c r="F42" s="15">
        <f t="shared" si="1"/>
        <v>-1.2995451591942819E-2</v>
      </c>
    </row>
    <row r="43" spans="2:6" x14ac:dyDescent="0.2">
      <c r="B43" s="13">
        <v>42856</v>
      </c>
      <c r="C43" s="14">
        <v>901.04160000000002</v>
      </c>
      <c r="D43" s="14">
        <v>1502</v>
      </c>
      <c r="E43" s="15">
        <f t="shared" si="1"/>
        <v>-3.2405906826656894E-3</v>
      </c>
      <c r="F43" s="15">
        <f t="shared" si="1"/>
        <v>-3.0342156229825723E-2</v>
      </c>
    </row>
    <row r="44" spans="2:6" x14ac:dyDescent="0.2">
      <c r="B44" s="13">
        <v>42887</v>
      </c>
      <c r="C44" s="14">
        <v>908</v>
      </c>
      <c r="D44" s="14">
        <v>1524</v>
      </c>
      <c r="E44" s="15">
        <f t="shared" si="1"/>
        <v>-2.0104872431001564E-3</v>
      </c>
      <c r="F44" s="15">
        <f t="shared" si="1"/>
        <v>-2.5575447570332477E-2</v>
      </c>
    </row>
    <row r="45" spans="2:6" x14ac:dyDescent="0.2">
      <c r="B45" s="13">
        <v>42917</v>
      </c>
      <c r="C45" s="14">
        <v>925</v>
      </c>
      <c r="D45" s="14">
        <v>1564</v>
      </c>
      <c r="E45" s="15">
        <f t="shared" si="1"/>
        <v>1.0840913638451299E-2</v>
      </c>
      <c r="F45" s="15">
        <f t="shared" si="1"/>
        <v>-5.7215511760966287E-3</v>
      </c>
    </row>
    <row r="46" spans="2:6" x14ac:dyDescent="0.2">
      <c r="B46" s="13">
        <v>42948</v>
      </c>
      <c r="C46" s="14">
        <v>939</v>
      </c>
      <c r="D46" s="14">
        <v>1609</v>
      </c>
      <c r="E46" s="15">
        <f t="shared" si="1"/>
        <v>2.4519400567773575E-2</v>
      </c>
      <c r="F46" s="15">
        <f t="shared" si="1"/>
        <v>2.5493945188017841E-2</v>
      </c>
    </row>
    <row r="47" spans="2:6" x14ac:dyDescent="0.2">
      <c r="B47" s="13">
        <v>42979</v>
      </c>
      <c r="C47" s="14">
        <v>927</v>
      </c>
      <c r="D47" s="14">
        <v>1593</v>
      </c>
      <c r="E47" s="15">
        <f t="shared" si="1"/>
        <v>2.0925110132158586E-2</v>
      </c>
      <c r="F47" s="15">
        <f t="shared" si="1"/>
        <v>1.9193857965451144E-2</v>
      </c>
    </row>
    <row r="48" spans="2:6" x14ac:dyDescent="0.2">
      <c r="B48" s="13">
        <v>43009</v>
      </c>
      <c r="C48" s="14">
        <v>909</v>
      </c>
      <c r="D48" s="14">
        <v>1556</v>
      </c>
      <c r="E48" s="15">
        <f t="shared" si="1"/>
        <v>8.9664820002710588E-3</v>
      </c>
      <c r="F48" s="15">
        <f t="shared" si="1"/>
        <v>5.8177117000646206E-3</v>
      </c>
    </row>
    <row r="49" spans="2:6" x14ac:dyDescent="0.2">
      <c r="B49" s="13">
        <v>43040</v>
      </c>
      <c r="C49" s="14">
        <v>904</v>
      </c>
      <c r="D49" s="14">
        <v>1530</v>
      </c>
      <c r="E49" s="15">
        <f t="shared" si="1"/>
        <v>6.7129041885494178E-3</v>
      </c>
      <c r="F49" s="15">
        <f t="shared" si="1"/>
        <v>-1.9569471624266699E-3</v>
      </c>
    </row>
    <row r="50" spans="2:6" x14ac:dyDescent="0.2">
      <c r="B50" s="13">
        <v>43070</v>
      </c>
      <c r="C50" s="14">
        <v>907</v>
      </c>
      <c r="D50" s="14">
        <v>1524</v>
      </c>
      <c r="E50" s="15">
        <f t="shared" si="1"/>
        <v>1.6624329736889321E-2</v>
      </c>
      <c r="F50" s="15">
        <f t="shared" si="1"/>
        <v>9.9403578528827197E-3</v>
      </c>
    </row>
    <row r="51" spans="2:6" x14ac:dyDescent="0.2">
      <c r="B51" s="13">
        <v>43101</v>
      </c>
      <c r="C51" s="14">
        <v>909</v>
      </c>
      <c r="D51" s="14">
        <v>1532</v>
      </c>
      <c r="E51" s="15">
        <f t="shared" si="1"/>
        <v>2.3388652612579497E-2</v>
      </c>
      <c r="F51" s="15">
        <f t="shared" si="1"/>
        <v>2.3380093520374068E-2</v>
      </c>
    </row>
    <row r="52" spans="2:6" x14ac:dyDescent="0.2">
      <c r="B52" s="13">
        <v>43132</v>
      </c>
      <c r="C52" s="14">
        <v>906</v>
      </c>
      <c r="D52" s="14">
        <v>1537</v>
      </c>
      <c r="E52" s="15">
        <f t="shared" si="1"/>
        <v>1.2423305582207167E-2</v>
      </c>
      <c r="F52" s="15">
        <f t="shared" si="1"/>
        <v>1.1184210526315796E-2</v>
      </c>
    </row>
    <row r="53" spans="2:6" x14ac:dyDescent="0.2">
      <c r="B53" s="13">
        <v>43160</v>
      </c>
      <c r="C53" s="14">
        <v>912</v>
      </c>
      <c r="D53" s="14">
        <v>1569</v>
      </c>
      <c r="E53" s="15">
        <f t="shared" si="1"/>
        <v>8.3349051711880673E-3</v>
      </c>
      <c r="F53" s="15">
        <f t="shared" si="1"/>
        <v>1.487710219922378E-2</v>
      </c>
    </row>
    <row r="54" spans="2:6" x14ac:dyDescent="0.2">
      <c r="B54" s="13">
        <v>43191</v>
      </c>
      <c r="C54" s="14">
        <v>918</v>
      </c>
      <c r="D54" s="14">
        <v>1588</v>
      </c>
      <c r="E54" s="15">
        <f t="shared" ref="E54:F69" si="2">C54/C42-1</f>
        <v>1.5595812337807491E-2</v>
      </c>
      <c r="F54" s="15">
        <f t="shared" si="2"/>
        <v>4.5424621461487735E-2</v>
      </c>
    </row>
    <row r="55" spans="2:6" x14ac:dyDescent="0.2">
      <c r="B55" s="13">
        <v>43221</v>
      </c>
      <c r="C55" s="14">
        <v>919</v>
      </c>
      <c r="D55" s="14">
        <v>1586</v>
      </c>
      <c r="E55" s="15">
        <f t="shared" si="2"/>
        <v>1.9930711301231696E-2</v>
      </c>
      <c r="F55" s="15">
        <f t="shared" si="2"/>
        <v>5.5925432756325E-2</v>
      </c>
    </row>
    <row r="56" spans="2:6" x14ac:dyDescent="0.2">
      <c r="B56" s="13">
        <v>43252</v>
      </c>
      <c r="C56" s="14">
        <v>924</v>
      </c>
      <c r="D56" s="14">
        <v>1596</v>
      </c>
      <c r="E56" s="15">
        <f t="shared" si="2"/>
        <v>1.7621145374449254E-2</v>
      </c>
      <c r="F56" s="15">
        <f t="shared" si="2"/>
        <v>4.7244094488188892E-2</v>
      </c>
    </row>
    <row r="57" spans="2:6" x14ac:dyDescent="0.2">
      <c r="B57" s="13">
        <v>43282</v>
      </c>
      <c r="C57" s="14">
        <v>937</v>
      </c>
      <c r="D57" s="14">
        <v>1615</v>
      </c>
      <c r="E57" s="15">
        <f t="shared" si="2"/>
        <v>1.2972972972973063E-2</v>
      </c>
      <c r="F57" s="15">
        <f t="shared" si="2"/>
        <v>3.2608695652173836E-2</v>
      </c>
    </row>
    <row r="58" spans="2:6" x14ac:dyDescent="0.2">
      <c r="B58" s="13">
        <v>43313</v>
      </c>
      <c r="C58" s="14">
        <v>947</v>
      </c>
      <c r="D58" s="14">
        <v>1632</v>
      </c>
      <c r="E58" s="15">
        <f t="shared" si="2"/>
        <v>8.5197018104365974E-3</v>
      </c>
      <c r="F58" s="15">
        <f t="shared" si="2"/>
        <v>1.429459291485391E-2</v>
      </c>
    </row>
    <row r="59" spans="2:6" x14ac:dyDescent="0.2">
      <c r="B59" s="13">
        <v>43344</v>
      </c>
      <c r="C59" s="14">
        <v>943</v>
      </c>
      <c r="D59" s="14">
        <v>1640</v>
      </c>
      <c r="E59" s="15">
        <f t="shared" si="2"/>
        <v>1.7259978425026912E-2</v>
      </c>
      <c r="F59" s="15">
        <f t="shared" si="2"/>
        <v>2.9504080351538065E-2</v>
      </c>
    </row>
    <row r="60" spans="2:6" x14ac:dyDescent="0.2">
      <c r="B60" s="13">
        <v>43374</v>
      </c>
      <c r="C60" s="14">
        <v>928</v>
      </c>
      <c r="D60" s="14">
        <v>1619</v>
      </c>
      <c r="E60" s="15">
        <f t="shared" si="2"/>
        <v>2.0902090209020896E-2</v>
      </c>
      <c r="F60" s="15">
        <f t="shared" si="2"/>
        <v>4.0488431876606779E-2</v>
      </c>
    </row>
    <row r="61" spans="2:6" x14ac:dyDescent="0.2">
      <c r="B61" s="13">
        <v>43405</v>
      </c>
      <c r="C61" s="14">
        <v>918</v>
      </c>
      <c r="D61" s="14">
        <v>1597</v>
      </c>
      <c r="E61" s="15">
        <f t="shared" si="2"/>
        <v>1.5486725663716783E-2</v>
      </c>
      <c r="F61" s="15">
        <f t="shared" si="2"/>
        <v>4.3790849673202681E-2</v>
      </c>
    </row>
    <row r="62" spans="2:6" x14ac:dyDescent="0.2">
      <c r="B62" s="13">
        <v>43435</v>
      </c>
      <c r="C62" s="14">
        <v>921</v>
      </c>
      <c r="D62" s="14">
        <v>1596</v>
      </c>
      <c r="E62" s="15">
        <f t="shared" si="2"/>
        <v>1.5435501653803696E-2</v>
      </c>
      <c r="F62" s="15">
        <f t="shared" si="2"/>
        <v>4.7244094488188892E-2</v>
      </c>
    </row>
    <row r="63" spans="2:6" x14ac:dyDescent="0.2">
      <c r="B63" s="13">
        <v>43466</v>
      </c>
      <c r="C63" s="14">
        <v>932</v>
      </c>
      <c r="D63" s="14">
        <v>1588</v>
      </c>
      <c r="E63" s="15">
        <f t="shared" si="2"/>
        <v>2.5302530253025202E-2</v>
      </c>
      <c r="F63" s="15">
        <f t="shared" si="2"/>
        <v>3.6553524804177506E-2</v>
      </c>
    </row>
    <row r="64" spans="2:6" x14ac:dyDescent="0.2">
      <c r="B64" s="13">
        <v>43497</v>
      </c>
      <c r="C64" s="14">
        <v>940</v>
      </c>
      <c r="D64" s="14">
        <v>1599</v>
      </c>
      <c r="E64" s="15">
        <f t="shared" si="2"/>
        <v>3.7527593818984517E-2</v>
      </c>
      <c r="F64" s="15">
        <f t="shared" si="2"/>
        <v>4.0338321405334998E-2</v>
      </c>
    </row>
    <row r="65" spans="2:6" x14ac:dyDescent="0.2">
      <c r="B65" s="13">
        <v>43525</v>
      </c>
      <c r="C65" s="14">
        <v>942</v>
      </c>
      <c r="D65" s="14">
        <v>1613</v>
      </c>
      <c r="E65" s="15">
        <f t="shared" si="2"/>
        <v>3.289473684210531E-2</v>
      </c>
      <c r="F65" s="15">
        <f t="shared" si="2"/>
        <v>2.8043339706819603E-2</v>
      </c>
    </row>
    <row r="66" spans="2:6" x14ac:dyDescent="0.2">
      <c r="B66" s="13">
        <v>43556</v>
      </c>
      <c r="C66" s="14">
        <v>936</v>
      </c>
      <c r="D66" s="14">
        <v>1617</v>
      </c>
      <c r="E66" s="15">
        <f t="shared" si="2"/>
        <v>1.9607843137254832E-2</v>
      </c>
      <c r="F66" s="15">
        <f t="shared" si="2"/>
        <v>1.8261964735516445E-2</v>
      </c>
    </row>
    <row r="67" spans="2:6" x14ac:dyDescent="0.2">
      <c r="B67" s="13">
        <v>43586</v>
      </c>
      <c r="C67" s="14">
        <v>934</v>
      </c>
      <c r="D67" s="14">
        <v>1602</v>
      </c>
      <c r="E67" s="15">
        <f t="shared" si="2"/>
        <v>1.6322089227421177E-2</v>
      </c>
      <c r="F67" s="15">
        <f t="shared" si="2"/>
        <v>1.0088272383354413E-2</v>
      </c>
    </row>
    <row r="68" spans="2:6" x14ac:dyDescent="0.2">
      <c r="B68" s="13">
        <v>43617</v>
      </c>
      <c r="C68" s="14">
        <v>941</v>
      </c>
      <c r="D68" s="14">
        <v>1611</v>
      </c>
      <c r="E68" s="15">
        <f t="shared" si="2"/>
        <v>1.8398268398268414E-2</v>
      </c>
      <c r="F68" s="15">
        <f t="shared" si="2"/>
        <v>9.3984962406015171E-3</v>
      </c>
    </row>
    <row r="69" spans="2:6" x14ac:dyDescent="0.2">
      <c r="B69" s="13">
        <v>43647</v>
      </c>
      <c r="C69" s="14">
        <v>959</v>
      </c>
      <c r="D69" s="14">
        <v>1665</v>
      </c>
      <c r="E69" s="15">
        <f t="shared" si="2"/>
        <v>2.3479188900747072E-2</v>
      </c>
      <c r="F69" s="15">
        <f t="shared" si="2"/>
        <v>3.0959752321981338E-2</v>
      </c>
    </row>
    <row r="70" spans="2:6" x14ac:dyDescent="0.2">
      <c r="B70" s="13">
        <v>43678</v>
      </c>
      <c r="C70" s="14">
        <v>970</v>
      </c>
      <c r="D70" s="14">
        <v>1689</v>
      </c>
      <c r="E70" s="15">
        <f t="shared" ref="E70:F85" si="3">C70/C58-1</f>
        <v>2.428722280887019E-2</v>
      </c>
      <c r="F70" s="15">
        <f t="shared" si="3"/>
        <v>3.4926470588235281E-2</v>
      </c>
    </row>
    <row r="71" spans="2:6" x14ac:dyDescent="0.2">
      <c r="B71" s="13">
        <v>43709</v>
      </c>
      <c r="C71" s="14">
        <v>967</v>
      </c>
      <c r="D71" s="14">
        <v>1694</v>
      </c>
      <c r="E71" s="15">
        <f t="shared" si="3"/>
        <v>2.5450689289501671E-2</v>
      </c>
      <c r="F71" s="15">
        <f t="shared" si="3"/>
        <v>3.2926829268292712E-2</v>
      </c>
    </row>
    <row r="72" spans="2:6" x14ac:dyDescent="0.2">
      <c r="B72" s="13">
        <v>43739</v>
      </c>
      <c r="C72" s="14">
        <v>953</v>
      </c>
      <c r="D72" s="14">
        <v>1665</v>
      </c>
      <c r="E72" s="15">
        <f t="shared" si="3"/>
        <v>2.6939655172413701E-2</v>
      </c>
      <c r="F72" s="15">
        <f t="shared" si="3"/>
        <v>2.8412600370599117E-2</v>
      </c>
    </row>
    <row r="73" spans="2:6" x14ac:dyDescent="0.2">
      <c r="B73" s="13">
        <v>43770</v>
      </c>
      <c r="C73" s="14">
        <v>947</v>
      </c>
      <c r="D73" s="14">
        <v>1648</v>
      </c>
      <c r="E73" s="15">
        <f t="shared" si="3"/>
        <v>3.1590413943355156E-2</v>
      </c>
      <c r="F73" s="15">
        <f t="shared" si="3"/>
        <v>3.1934877896055092E-2</v>
      </c>
    </row>
    <row r="74" spans="2:6" x14ac:dyDescent="0.2">
      <c r="B74" s="13">
        <v>43800</v>
      </c>
      <c r="C74" s="14">
        <v>953</v>
      </c>
      <c r="D74" s="14">
        <v>1630</v>
      </c>
      <c r="E74" s="15">
        <f t="shared" si="3"/>
        <v>3.4744842562432154E-2</v>
      </c>
      <c r="F74" s="15">
        <f t="shared" si="3"/>
        <v>2.130325814536338E-2</v>
      </c>
    </row>
    <row r="75" spans="2:6" x14ac:dyDescent="0.2">
      <c r="B75" s="13">
        <v>43831</v>
      </c>
      <c r="C75" s="14">
        <v>953</v>
      </c>
      <c r="D75" s="14">
        <v>1627</v>
      </c>
      <c r="E75" s="15">
        <f t="shared" si="3"/>
        <v>2.2532188841201783E-2</v>
      </c>
      <c r="F75" s="15">
        <f t="shared" si="3"/>
        <v>2.4559193954659886E-2</v>
      </c>
    </row>
    <row r="76" spans="2:6" x14ac:dyDescent="0.2">
      <c r="B76" s="13">
        <v>43862</v>
      </c>
      <c r="C76" s="14">
        <v>955</v>
      </c>
      <c r="D76" s="14">
        <v>1650</v>
      </c>
      <c r="E76" s="15">
        <f t="shared" si="3"/>
        <v>1.5957446808510634E-2</v>
      </c>
      <c r="F76" s="15">
        <f t="shared" si="3"/>
        <v>3.1894934333958735E-2</v>
      </c>
    </row>
    <row r="77" spans="2:6" x14ac:dyDescent="0.2">
      <c r="B77" s="13">
        <v>43891</v>
      </c>
      <c r="C77" s="14">
        <v>959</v>
      </c>
      <c r="D77" s="14">
        <v>1673</v>
      </c>
      <c r="E77" s="15">
        <f t="shared" si="3"/>
        <v>1.8046709129511784E-2</v>
      </c>
      <c r="F77" s="15">
        <f t="shared" si="3"/>
        <v>3.7197768133911957E-2</v>
      </c>
    </row>
    <row r="78" spans="2:6" x14ac:dyDescent="0.2">
      <c r="B78" s="13">
        <v>43922</v>
      </c>
      <c r="C78" s="14">
        <v>968</v>
      </c>
      <c r="D78" s="14">
        <v>1668</v>
      </c>
      <c r="E78" s="15">
        <f t="shared" si="3"/>
        <v>3.4188034188034289E-2</v>
      </c>
      <c r="F78" s="15">
        <f t="shared" si="3"/>
        <v>3.153988868274582E-2</v>
      </c>
    </row>
    <row r="79" spans="2:6" x14ac:dyDescent="0.2">
      <c r="B79" s="13">
        <v>43952</v>
      </c>
      <c r="C79" s="14">
        <v>959</v>
      </c>
      <c r="D79" s="14">
        <v>1598</v>
      </c>
      <c r="E79" s="15">
        <f t="shared" si="3"/>
        <v>2.6766595289079209E-2</v>
      </c>
      <c r="F79" s="15">
        <f t="shared" si="3"/>
        <v>-2.4968789013732895E-3</v>
      </c>
    </row>
    <row r="80" spans="2:6" x14ac:dyDescent="0.2">
      <c r="B80" s="13">
        <v>43983</v>
      </c>
      <c r="C80" s="14">
        <v>951</v>
      </c>
      <c r="D80" s="14">
        <v>1583</v>
      </c>
      <c r="E80" s="15">
        <f t="shared" si="3"/>
        <v>1.0626992561105109E-2</v>
      </c>
      <c r="F80" s="15">
        <f t="shared" si="3"/>
        <v>-1.7380509000620714E-2</v>
      </c>
    </row>
    <row r="81" spans="2:6" x14ac:dyDescent="0.2">
      <c r="B81" s="13">
        <v>44013</v>
      </c>
      <c r="C81" s="14">
        <v>965</v>
      </c>
      <c r="D81" s="14">
        <v>1611</v>
      </c>
      <c r="E81" s="15">
        <f t="shared" si="3"/>
        <v>6.2565172054223073E-3</v>
      </c>
      <c r="F81" s="15">
        <f t="shared" si="3"/>
        <v>-3.2432432432432434E-2</v>
      </c>
    </row>
    <row r="82" spans="2:6" x14ac:dyDescent="0.2">
      <c r="B82" s="13">
        <v>44044</v>
      </c>
      <c r="C82" s="14">
        <v>985</v>
      </c>
      <c r="D82" s="14">
        <v>1653</v>
      </c>
      <c r="E82" s="15">
        <f t="shared" si="3"/>
        <v>1.5463917525773141E-2</v>
      </c>
      <c r="F82" s="15">
        <f t="shared" si="3"/>
        <v>-2.1314387211367691E-2</v>
      </c>
    </row>
    <row r="83" spans="2:6" x14ac:dyDescent="0.2">
      <c r="B83" s="13">
        <v>44075</v>
      </c>
      <c r="C83" s="14">
        <v>987</v>
      </c>
      <c r="D83" s="14">
        <v>1646</v>
      </c>
      <c r="E83" s="15">
        <f t="shared" si="3"/>
        <v>2.0682523267838704E-2</v>
      </c>
      <c r="F83" s="15">
        <f t="shared" si="3"/>
        <v>-2.8335301062573759E-2</v>
      </c>
    </row>
    <row r="84" spans="2:6" x14ac:dyDescent="0.2">
      <c r="B84" s="13">
        <v>44105</v>
      </c>
      <c r="C84" s="14">
        <v>974</v>
      </c>
      <c r="D84" s="14">
        <v>1603</v>
      </c>
      <c r="E84" s="15">
        <f t="shared" si="3"/>
        <v>2.2035676810073346E-2</v>
      </c>
      <c r="F84" s="15">
        <f t="shared" si="3"/>
        <v>-3.7237237237237264E-2</v>
      </c>
    </row>
    <row r="85" spans="2:6" x14ac:dyDescent="0.2">
      <c r="B85" s="13">
        <v>44136</v>
      </c>
      <c r="C85" s="14">
        <v>974</v>
      </c>
      <c r="D85" s="14">
        <v>1576</v>
      </c>
      <c r="E85" s="15">
        <f t="shared" si="3"/>
        <v>2.8511087645195277E-2</v>
      </c>
      <c r="F85" s="15">
        <f t="shared" si="3"/>
        <v>-4.3689320388349495E-2</v>
      </c>
    </row>
    <row r="86" spans="2:6" x14ac:dyDescent="0.2">
      <c r="B86" s="13">
        <v>44166</v>
      </c>
      <c r="C86" s="14">
        <v>979</v>
      </c>
      <c r="D86" s="14">
        <v>1556</v>
      </c>
      <c r="E86" s="15">
        <f t="shared" ref="E86:F101" si="4">C86/C74-1</f>
        <v>2.7282266526757581E-2</v>
      </c>
      <c r="F86" s="15">
        <f t="shared" si="4"/>
        <v>-4.5398773006134929E-2</v>
      </c>
    </row>
    <row r="87" spans="2:6" x14ac:dyDescent="0.2">
      <c r="B87" s="13">
        <v>44197</v>
      </c>
      <c r="C87" s="14">
        <v>981</v>
      </c>
      <c r="D87" s="14">
        <v>1563</v>
      </c>
      <c r="E87" s="15">
        <f t="shared" si="4"/>
        <v>2.9380902413431276E-2</v>
      </c>
      <c r="F87" s="15">
        <f t="shared" si="4"/>
        <v>-3.9336201598033194E-2</v>
      </c>
    </row>
    <row r="88" spans="2:6" x14ac:dyDescent="0.2">
      <c r="B88" s="13">
        <v>44228</v>
      </c>
      <c r="C88" s="14">
        <v>984</v>
      </c>
      <c r="D88" s="14">
        <v>1572</v>
      </c>
      <c r="E88" s="15">
        <f t="shared" si="4"/>
        <v>3.0366492146596924E-2</v>
      </c>
      <c r="F88" s="15">
        <f t="shared" si="4"/>
        <v>-4.7272727272727244E-2</v>
      </c>
    </row>
    <row r="89" spans="2:6" x14ac:dyDescent="0.2">
      <c r="B89" s="13">
        <v>44256</v>
      </c>
      <c r="C89" s="14">
        <v>992</v>
      </c>
      <c r="D89" s="14">
        <v>1586</v>
      </c>
      <c r="E89" s="15">
        <f t="shared" si="4"/>
        <v>3.4410844629822801E-2</v>
      </c>
      <c r="F89" s="15">
        <f t="shared" si="4"/>
        <v>-5.2002390914524854E-2</v>
      </c>
    </row>
    <row r="90" spans="2:6" x14ac:dyDescent="0.2">
      <c r="B90" s="13">
        <v>44287</v>
      </c>
      <c r="C90" s="14">
        <v>996</v>
      </c>
      <c r="D90" s="14">
        <v>1580</v>
      </c>
      <c r="E90" s="15">
        <f t="shared" si="4"/>
        <v>2.8925619834710758E-2</v>
      </c>
      <c r="F90" s="15">
        <f t="shared" si="4"/>
        <v>-5.2757793764988015E-2</v>
      </c>
    </row>
    <row r="91" spans="2:6" x14ac:dyDescent="0.2">
      <c r="B91" s="13">
        <v>44317</v>
      </c>
      <c r="C91" s="14">
        <v>997</v>
      </c>
      <c r="D91" s="14">
        <v>1583</v>
      </c>
      <c r="E91" s="15">
        <f t="shared" si="4"/>
        <v>3.9624608967674613E-2</v>
      </c>
      <c r="F91" s="15">
        <f t="shared" si="4"/>
        <v>-9.386733416770987E-3</v>
      </c>
    </row>
    <row r="92" spans="2:6" x14ac:dyDescent="0.2">
      <c r="B92" s="13">
        <v>44348</v>
      </c>
      <c r="C92" s="14">
        <v>1007</v>
      </c>
      <c r="D92" s="14">
        <v>1607</v>
      </c>
      <c r="E92" s="15">
        <f t="shared" si="4"/>
        <v>5.8885383806519531E-2</v>
      </c>
      <c r="F92" s="15">
        <f t="shared" si="4"/>
        <v>1.516108654453574E-2</v>
      </c>
    </row>
    <row r="93" spans="2:6" x14ac:dyDescent="0.2">
      <c r="B93" s="13">
        <v>44378</v>
      </c>
      <c r="C93" s="14">
        <v>1029</v>
      </c>
      <c r="D93" s="14">
        <v>1645</v>
      </c>
      <c r="E93" s="15">
        <f t="shared" si="4"/>
        <v>6.6321243523316031E-2</v>
      </c>
      <c r="F93" s="15">
        <f t="shared" si="4"/>
        <v>2.1104903786468121E-2</v>
      </c>
    </row>
    <row r="94" spans="2:6" x14ac:dyDescent="0.2">
      <c r="B94" s="13">
        <v>44409</v>
      </c>
      <c r="C94" s="14">
        <v>1053</v>
      </c>
      <c r="D94" s="14">
        <v>1713</v>
      </c>
      <c r="E94" s="15">
        <f t="shared" si="4"/>
        <v>6.9035532994923932E-2</v>
      </c>
      <c r="F94" s="15">
        <f t="shared" si="4"/>
        <v>3.6297640653357499E-2</v>
      </c>
    </row>
    <row r="95" spans="2:6" x14ac:dyDescent="0.2">
      <c r="B95" s="13">
        <v>44440</v>
      </c>
      <c r="C95" s="14">
        <v>1061</v>
      </c>
      <c r="D95" s="14">
        <v>1752</v>
      </c>
      <c r="E95" s="15">
        <f t="shared" si="4"/>
        <v>7.4974670719351488E-2</v>
      </c>
      <c r="F95" s="15">
        <f t="shared" si="4"/>
        <v>6.4398541919805652E-2</v>
      </c>
    </row>
    <row r="96" spans="2:6" x14ac:dyDescent="0.2">
      <c r="B96" s="13">
        <v>44470</v>
      </c>
      <c r="C96" s="14">
        <v>1059</v>
      </c>
      <c r="D96" s="14">
        <v>1759</v>
      </c>
      <c r="E96" s="15">
        <f t="shared" si="4"/>
        <v>8.7268993839835662E-2</v>
      </c>
      <c r="F96" s="15">
        <f t="shared" si="4"/>
        <v>9.7317529631940181E-2</v>
      </c>
    </row>
    <row r="97" spans="2:6" x14ac:dyDescent="0.2">
      <c r="B97" s="13">
        <v>44501</v>
      </c>
      <c r="C97" s="14">
        <v>1058</v>
      </c>
      <c r="D97" s="14">
        <v>1757</v>
      </c>
      <c r="E97" s="15">
        <f t="shared" si="4"/>
        <v>8.6242299794661248E-2</v>
      </c>
      <c r="F97" s="15">
        <f t="shared" si="4"/>
        <v>0.11484771573604058</v>
      </c>
    </row>
    <row r="98" spans="2:6" x14ac:dyDescent="0.2">
      <c r="B98" s="13">
        <v>44531</v>
      </c>
      <c r="C98" s="14">
        <v>1060</v>
      </c>
      <c r="D98" s="14">
        <v>1752</v>
      </c>
      <c r="E98" s="15">
        <f t="shared" si="4"/>
        <v>8.2737487231869355E-2</v>
      </c>
      <c r="F98" s="15">
        <f t="shared" si="4"/>
        <v>0.12596401028277637</v>
      </c>
    </row>
    <row r="99" spans="2:6" x14ac:dyDescent="0.2">
      <c r="B99" s="13">
        <v>44562</v>
      </c>
      <c r="C99" s="14">
        <v>1064</v>
      </c>
      <c r="D99" s="14">
        <v>1760</v>
      </c>
      <c r="E99" s="15">
        <f t="shared" si="4"/>
        <v>8.4607543323139689E-2</v>
      </c>
      <c r="F99" s="15">
        <f t="shared" si="4"/>
        <v>0.12603966730646188</v>
      </c>
    </row>
    <row r="100" spans="2:6" x14ac:dyDescent="0.2">
      <c r="B100" s="13">
        <v>44593</v>
      </c>
      <c r="C100" s="14">
        <v>1069</v>
      </c>
      <c r="D100" s="14">
        <v>1757</v>
      </c>
      <c r="E100" s="15">
        <f t="shared" si="4"/>
        <v>8.6382113821138251E-2</v>
      </c>
      <c r="F100" s="15">
        <f t="shared" si="4"/>
        <v>0.1176844783715012</v>
      </c>
    </row>
    <row r="101" spans="2:6" x14ac:dyDescent="0.2">
      <c r="B101" s="13">
        <v>44621</v>
      </c>
      <c r="C101" s="14">
        <v>1078</v>
      </c>
      <c r="D101" s="14">
        <v>1770</v>
      </c>
      <c r="E101" s="15">
        <f>C101/C89-1</f>
        <v>8.6693548387096753E-2</v>
      </c>
      <c r="F101" s="15">
        <f t="shared" si="4"/>
        <v>0.11601513240857497</v>
      </c>
    </row>
    <row r="102" spans="2:6" x14ac:dyDescent="0.2">
      <c r="B102" s="13">
        <v>44652</v>
      </c>
      <c r="C102" s="14">
        <v>1091</v>
      </c>
      <c r="D102" s="14">
        <v>1804</v>
      </c>
      <c r="E102" s="15">
        <f t="shared" ref="E102:F104" si="5">C102/C90-1</f>
        <v>9.5381526104417746E-2</v>
      </c>
      <c r="F102" s="15">
        <f t="shared" si="5"/>
        <v>0.14177215189873427</v>
      </c>
    </row>
    <row r="103" spans="2:6" x14ac:dyDescent="0.2">
      <c r="B103" s="13">
        <v>44682</v>
      </c>
      <c r="C103" s="14">
        <v>1103</v>
      </c>
      <c r="D103" s="14">
        <v>1832</v>
      </c>
      <c r="E103" s="15">
        <f t="shared" si="5"/>
        <v>0.10631895687061177</v>
      </c>
      <c r="F103" s="15">
        <f t="shared" si="5"/>
        <v>0.15729627289955772</v>
      </c>
    </row>
    <row r="104" spans="2:6" x14ac:dyDescent="0.2">
      <c r="B104" s="13">
        <v>44713</v>
      </c>
      <c r="C104" s="14">
        <v>1113</v>
      </c>
      <c r="D104" s="14">
        <v>1846</v>
      </c>
      <c r="E104" s="15">
        <f t="shared" si="5"/>
        <v>0.10526315789473695</v>
      </c>
      <c r="F104" s="15">
        <f t="shared" si="5"/>
        <v>0.14872433105164906</v>
      </c>
    </row>
    <row r="105" spans="2:6" x14ac:dyDescent="0.2">
      <c r="B105" s="13">
        <v>44743</v>
      </c>
      <c r="C105" s="14">
        <v>1127</v>
      </c>
      <c r="D105" s="14">
        <v>1868</v>
      </c>
      <c r="E105" s="15">
        <f>C105/C93-1</f>
        <v>9.5238095238095344E-2</v>
      </c>
      <c r="F105" s="15">
        <f>D105/D93-1</f>
        <v>0.13556231003039509</v>
      </c>
    </row>
    <row r="106" spans="2:6" x14ac:dyDescent="0.2">
      <c r="B106" s="13">
        <v>44774</v>
      </c>
      <c r="C106" s="14">
        <v>1143</v>
      </c>
      <c r="D106" s="14">
        <v>1898</v>
      </c>
      <c r="E106" s="15">
        <f t="shared" ref="E106:F126" si="6">C106/C94-1</f>
        <v>8.5470085470085388E-2</v>
      </c>
      <c r="F106" s="15">
        <f t="shared" si="6"/>
        <v>0.10799766491535312</v>
      </c>
    </row>
    <row r="107" spans="2:6" x14ac:dyDescent="0.2">
      <c r="B107" s="13">
        <v>44805</v>
      </c>
      <c r="C107" s="14">
        <v>1159</v>
      </c>
      <c r="D107" s="14">
        <v>1945</v>
      </c>
      <c r="E107" s="15">
        <f t="shared" si="6"/>
        <v>9.236569274269546E-2</v>
      </c>
      <c r="F107" s="15">
        <f t="shared" si="6"/>
        <v>0.11015981735159808</v>
      </c>
    </row>
    <row r="108" spans="2:6" x14ac:dyDescent="0.2">
      <c r="B108" s="13">
        <v>44835</v>
      </c>
      <c r="C108" s="14">
        <v>1171</v>
      </c>
      <c r="D108" s="14">
        <v>1989</v>
      </c>
      <c r="E108" s="15">
        <f t="shared" si="6"/>
        <v>0.10576015108593007</v>
      </c>
      <c r="F108" s="15">
        <f t="shared" si="6"/>
        <v>0.1307561114269471</v>
      </c>
    </row>
    <row r="109" spans="2:6" x14ac:dyDescent="0.2">
      <c r="B109" s="13">
        <v>44866</v>
      </c>
      <c r="C109" s="14">
        <v>1175</v>
      </c>
      <c r="D109" s="14">
        <v>2011</v>
      </c>
      <c r="E109" s="15">
        <f t="shared" si="6"/>
        <v>0.11058601134215507</v>
      </c>
      <c r="F109" s="15">
        <f t="shared" si="6"/>
        <v>0.14456459874786565</v>
      </c>
    </row>
    <row r="110" spans="2:6" x14ac:dyDescent="0.2">
      <c r="B110" s="13">
        <v>44896</v>
      </c>
      <c r="C110" s="14">
        <v>1174</v>
      </c>
      <c r="D110" s="14">
        <v>2007</v>
      </c>
      <c r="E110" s="15">
        <f t="shared" si="6"/>
        <v>0.10754716981132084</v>
      </c>
      <c r="F110" s="15">
        <f t="shared" si="6"/>
        <v>0.14554794520547953</v>
      </c>
    </row>
    <row r="111" spans="2:6" x14ac:dyDescent="0.2">
      <c r="B111" s="13">
        <v>44927</v>
      </c>
      <c r="C111" s="14">
        <v>1172</v>
      </c>
      <c r="D111" s="14">
        <v>1989</v>
      </c>
      <c r="E111" s="15">
        <f t="shared" si="6"/>
        <v>0.10150375939849621</v>
      </c>
      <c r="F111" s="15">
        <f t="shared" si="6"/>
        <v>0.13011363636363638</v>
      </c>
    </row>
    <row r="112" spans="2:6" x14ac:dyDescent="0.2">
      <c r="B112" s="13">
        <v>44958</v>
      </c>
      <c r="C112" s="14">
        <v>1175</v>
      </c>
      <c r="D112" s="14">
        <v>1975</v>
      </c>
      <c r="E112" s="15">
        <f t="shared" si="6"/>
        <v>9.9158091674462101E-2</v>
      </c>
      <c r="F112" s="15">
        <f t="shared" si="6"/>
        <v>0.12407512805919185</v>
      </c>
    </row>
    <row r="113" spans="2:6" x14ac:dyDescent="0.2">
      <c r="B113" s="13">
        <v>44986</v>
      </c>
      <c r="C113" s="14">
        <v>1184</v>
      </c>
      <c r="D113" s="14">
        <v>1979</v>
      </c>
      <c r="E113" s="15">
        <f t="shared" si="6"/>
        <v>9.8330241187384093E-2</v>
      </c>
      <c r="F113" s="15">
        <f t="shared" si="6"/>
        <v>0.11807909604519784</v>
      </c>
    </row>
    <row r="114" spans="2:6" x14ac:dyDescent="0.2">
      <c r="B114" s="13">
        <v>45017</v>
      </c>
      <c r="C114" s="14">
        <v>1199</v>
      </c>
      <c r="D114" s="14">
        <v>2003</v>
      </c>
      <c r="E114" s="15">
        <f t="shared" si="6"/>
        <v>9.8991750687442703E-2</v>
      </c>
      <c r="F114" s="15">
        <f t="shared" si="6"/>
        <v>0.11031042128603108</v>
      </c>
    </row>
    <row r="115" spans="2:6" x14ac:dyDescent="0.2">
      <c r="B115" s="13">
        <v>45047</v>
      </c>
      <c r="C115" s="14">
        <v>1213</v>
      </c>
      <c r="D115" s="14">
        <v>2039</v>
      </c>
      <c r="E115" s="15">
        <f t="shared" si="6"/>
        <v>9.972801450589297E-2</v>
      </c>
      <c r="F115" s="15">
        <f t="shared" si="6"/>
        <v>0.11299126637554591</v>
      </c>
    </row>
    <row r="116" spans="2:6" x14ac:dyDescent="0.2">
      <c r="B116" s="13">
        <v>45078</v>
      </c>
      <c r="C116" s="14">
        <v>1229</v>
      </c>
      <c r="D116" s="14">
        <v>2077</v>
      </c>
      <c r="E116" s="15">
        <f t="shared" si="6"/>
        <v>0.10422282120395332</v>
      </c>
      <c r="F116" s="15">
        <f t="shared" si="6"/>
        <v>0.12513542795232935</v>
      </c>
    </row>
    <row r="117" spans="2:6" x14ac:dyDescent="0.2">
      <c r="B117" s="13">
        <v>45108</v>
      </c>
      <c r="C117" s="14">
        <v>1243</v>
      </c>
      <c r="D117" s="14">
        <v>2109</v>
      </c>
      <c r="E117" s="15">
        <f t="shared" si="6"/>
        <v>0.10292812777284821</v>
      </c>
      <c r="F117" s="15">
        <f t="shared" si="6"/>
        <v>0.12901498929336186</v>
      </c>
    </row>
    <row r="118" spans="2:6" x14ac:dyDescent="0.2">
      <c r="B118" s="13">
        <v>45139</v>
      </c>
      <c r="C118" s="14">
        <v>1261</v>
      </c>
      <c r="D118" s="14">
        <v>2145</v>
      </c>
      <c r="E118" s="15">
        <f t="shared" si="6"/>
        <v>0.10323709536307968</v>
      </c>
      <c r="F118" s="15">
        <f t="shared" si="6"/>
        <v>0.13013698630136994</v>
      </c>
    </row>
    <row r="119" spans="2:6" x14ac:dyDescent="0.2">
      <c r="B119" s="13">
        <v>45170</v>
      </c>
      <c r="C119" s="14">
        <v>1276</v>
      </c>
      <c r="D119" s="14">
        <v>2179</v>
      </c>
      <c r="E119" s="15">
        <f t="shared" si="6"/>
        <v>0.1009490940465918</v>
      </c>
      <c r="F119" s="15">
        <f t="shared" si="6"/>
        <v>0.12030848329048838</v>
      </c>
    </row>
    <row r="120" spans="2:6" x14ac:dyDescent="0.2">
      <c r="B120" s="13">
        <v>45200</v>
      </c>
      <c r="C120" s="14">
        <v>1283</v>
      </c>
      <c r="D120" s="14">
        <v>2192</v>
      </c>
      <c r="E120" s="15">
        <f t="shared" si="6"/>
        <v>9.5644748078565378E-2</v>
      </c>
      <c r="F120" s="15">
        <f t="shared" si="6"/>
        <v>0.10206133735545508</v>
      </c>
    </row>
    <row r="121" spans="2:6" x14ac:dyDescent="0.2">
      <c r="B121" s="13">
        <v>45231</v>
      </c>
      <c r="C121" s="14">
        <v>1279</v>
      </c>
      <c r="D121" s="14">
        <v>2174</v>
      </c>
      <c r="E121" s="15">
        <f t="shared" si="6"/>
        <v>8.8510638297872424E-2</v>
      </c>
      <c r="F121" s="15">
        <f t="shared" si="6"/>
        <v>8.1054201889607214E-2</v>
      </c>
    </row>
    <row r="122" spans="2:6" x14ac:dyDescent="0.2">
      <c r="B122" s="13">
        <v>45261</v>
      </c>
      <c r="C122" s="14">
        <v>1268</v>
      </c>
      <c r="D122" s="14">
        <v>2127</v>
      </c>
      <c r="E122" s="15">
        <f t="shared" si="6"/>
        <v>8.0068143100511024E-2</v>
      </c>
      <c r="F122" s="15">
        <f t="shared" si="6"/>
        <v>5.9790732436472371E-2</v>
      </c>
    </row>
    <row r="123" spans="2:6" x14ac:dyDescent="0.2">
      <c r="B123" s="13">
        <v>45292</v>
      </c>
      <c r="C123" s="14">
        <v>1260</v>
      </c>
      <c r="D123" s="14">
        <v>2081</v>
      </c>
      <c r="E123" s="15">
        <f t="shared" si="6"/>
        <v>7.5085324232081918E-2</v>
      </c>
      <c r="F123" s="15">
        <f t="shared" si="6"/>
        <v>4.6254399195575724E-2</v>
      </c>
    </row>
    <row r="124" spans="2:6" x14ac:dyDescent="0.2">
      <c r="B124" s="13">
        <v>45323</v>
      </c>
      <c r="C124" s="16">
        <v>1262</v>
      </c>
      <c r="D124" s="14">
        <v>2070</v>
      </c>
      <c r="E124" s="15">
        <f t="shared" si="6"/>
        <v>7.4042553191489446E-2</v>
      </c>
      <c r="F124" s="15">
        <f t="shared" si="6"/>
        <v>4.8101265822784844E-2</v>
      </c>
    </row>
    <row r="125" spans="2:6" x14ac:dyDescent="0.2">
      <c r="B125" s="13">
        <v>45352</v>
      </c>
      <c r="C125" s="16">
        <v>1273</v>
      </c>
      <c r="D125" s="14">
        <v>2102</v>
      </c>
      <c r="E125" s="15">
        <f t="shared" si="6"/>
        <v>7.5168918918918859E-2</v>
      </c>
      <c r="F125" s="15">
        <f t="shared" si="6"/>
        <v>6.2152602324406336E-2</v>
      </c>
    </row>
    <row r="126" spans="2:6" x14ac:dyDescent="0.2">
      <c r="B126" s="13">
        <v>45383</v>
      </c>
      <c r="C126" s="16">
        <v>1294</v>
      </c>
      <c r="D126" s="14">
        <v>2167</v>
      </c>
      <c r="E126" s="15">
        <f t="shared" si="6"/>
        <v>7.9232693911593044E-2</v>
      </c>
      <c r="F126" s="15">
        <f t="shared" si="6"/>
        <v>8.1877184223664523E-2</v>
      </c>
    </row>
    <row r="127" spans="2:6" x14ac:dyDescent="0.2">
      <c r="B127" s="13">
        <v>45413</v>
      </c>
      <c r="C127" s="17">
        <v>1297</v>
      </c>
      <c r="D127" s="14">
        <v>2138</v>
      </c>
      <c r="E127" s="15">
        <f>C127/C115-1</f>
        <v>6.9249793899422984E-2</v>
      </c>
      <c r="F127" s="15">
        <f>D127/D115-1</f>
        <v>4.8553212358999565E-2</v>
      </c>
    </row>
    <row r="128" spans="2:6" x14ac:dyDescent="0.2">
      <c r="B128" s="13">
        <v>45444</v>
      </c>
      <c r="C128" s="17">
        <v>1299</v>
      </c>
      <c r="D128" s="14">
        <v>2013</v>
      </c>
      <c r="E128" s="15">
        <f t="shared" ref="E128:E150" si="7">C128/C116-1</f>
        <v>5.6956875508543447E-2</v>
      </c>
      <c r="F128" s="15">
        <f t="shared" ref="F128:F150" si="8">D128/D116-1</f>
        <v>-3.0813673567645639E-2</v>
      </c>
    </row>
    <row r="129" spans="2:6" x14ac:dyDescent="0.2">
      <c r="B129" s="13">
        <v>45474</v>
      </c>
      <c r="C129" s="17">
        <v>1308</v>
      </c>
      <c r="D129" s="14">
        <v>2101</v>
      </c>
      <c r="E129" s="15">
        <f t="shared" si="7"/>
        <v>5.2292839903459454E-2</v>
      </c>
      <c r="F129" s="15">
        <f t="shared" si="8"/>
        <v>-3.7932669511616668E-3</v>
      </c>
    </row>
    <row r="130" spans="2:6" x14ac:dyDescent="0.2">
      <c r="B130" s="13">
        <v>45505</v>
      </c>
      <c r="C130" s="17">
        <v>1325</v>
      </c>
      <c r="D130" s="14">
        <v>2148</v>
      </c>
      <c r="E130" s="15">
        <f t="shared" si="7"/>
        <v>5.0753370340999249E-2</v>
      </c>
      <c r="F130" s="15">
        <f t="shared" si="8"/>
        <v>1.3986013986013734E-3</v>
      </c>
    </row>
    <row r="131" spans="2:6" x14ac:dyDescent="0.2">
      <c r="B131" s="13">
        <v>45536</v>
      </c>
      <c r="C131" s="17">
        <v>1331</v>
      </c>
      <c r="D131" s="14">
        <v>2201</v>
      </c>
      <c r="E131" s="15">
        <f t="shared" si="7"/>
        <v>4.31034482758621E-2</v>
      </c>
      <c r="F131" s="15">
        <f t="shared" si="8"/>
        <v>1.0096374483708148E-2</v>
      </c>
    </row>
    <row r="132" spans="2:6" x14ac:dyDescent="0.2">
      <c r="B132" s="13">
        <v>45566</v>
      </c>
      <c r="C132" s="17">
        <v>1327</v>
      </c>
      <c r="D132" s="14">
        <v>2211</v>
      </c>
      <c r="E132" s="15">
        <f t="shared" si="7"/>
        <v>3.4294621979735096E-2</v>
      </c>
      <c r="F132" s="15">
        <f t="shared" si="8"/>
        <v>8.667883211678884E-3</v>
      </c>
    </row>
    <row r="133" spans="2:6" x14ac:dyDescent="0.2">
      <c r="B133" s="13">
        <v>45597</v>
      </c>
      <c r="C133" s="17">
        <v>1307</v>
      </c>
      <c r="D133" s="14">
        <v>2151</v>
      </c>
      <c r="E133" s="15">
        <f t="shared" si="7"/>
        <v>2.1892103205629398E-2</v>
      </c>
      <c r="F133" s="15">
        <f t="shared" si="8"/>
        <v>-1.0579576816927339E-2</v>
      </c>
    </row>
    <row r="134" spans="2:6" x14ac:dyDescent="0.2">
      <c r="B134" s="13">
        <v>45627</v>
      </c>
      <c r="C134" s="17">
        <v>1284</v>
      </c>
      <c r="D134" s="14">
        <v>2071</v>
      </c>
      <c r="E134" s="15">
        <f t="shared" si="7"/>
        <v>1.2618296529968376E-2</v>
      </c>
      <c r="F134" s="15">
        <f t="shared" si="8"/>
        <v>-2.6328161730136301E-2</v>
      </c>
    </row>
    <row r="135" spans="2:6" x14ac:dyDescent="0.2">
      <c r="B135" s="13">
        <v>45658</v>
      </c>
      <c r="C135" s="17">
        <v>1271</v>
      </c>
      <c r="D135" s="14">
        <v>2025</v>
      </c>
      <c r="E135" s="15">
        <f t="shared" si="7"/>
        <v>8.7301587301586991E-3</v>
      </c>
      <c r="F135" s="15">
        <f t="shared" si="8"/>
        <v>-2.6910139356078777E-2</v>
      </c>
    </row>
    <row r="136" spans="2:6" x14ac:dyDescent="0.2">
      <c r="B136" s="13">
        <v>45689</v>
      </c>
      <c r="C136" s="17">
        <v>1275</v>
      </c>
      <c r="D136" s="14">
        <v>2026</v>
      </c>
      <c r="E136" s="15">
        <f t="shared" si="7"/>
        <v>1.0301109350237647E-2</v>
      </c>
      <c r="F136" s="15">
        <f t="shared" si="8"/>
        <v>-2.1256038647343045E-2</v>
      </c>
    </row>
    <row r="137" spans="2:6" x14ac:dyDescent="0.2">
      <c r="B137" s="13">
        <v>45717</v>
      </c>
      <c r="C137" s="17">
        <v>1288</v>
      </c>
      <c r="D137" s="14">
        <v>2059</v>
      </c>
      <c r="E137" s="15">
        <f t="shared" si="7"/>
        <v>1.178318931657496E-2</v>
      </c>
      <c r="F137" s="15">
        <f t="shared" si="8"/>
        <v>-2.0456707897240745E-2</v>
      </c>
    </row>
    <row r="138" spans="2:6" x14ac:dyDescent="0.2">
      <c r="B138" s="13">
        <v>45748</v>
      </c>
      <c r="C138" s="17">
        <v>1298</v>
      </c>
      <c r="D138" s="14">
        <v>2081</v>
      </c>
      <c r="E138" s="15">
        <f t="shared" si="7"/>
        <v>3.0911901081915882E-3</v>
      </c>
      <c r="F138" s="15">
        <f t="shared" si="8"/>
        <v>-3.9686202122750314E-2</v>
      </c>
    </row>
    <row r="139" spans="2:6" x14ac:dyDescent="0.2">
      <c r="B139" s="13">
        <v>45778</v>
      </c>
      <c r="C139" s="17">
        <v>1307</v>
      </c>
      <c r="D139" s="14">
        <v>2088</v>
      </c>
      <c r="E139" s="15">
        <f t="shared" si="7"/>
        <v>7.7101002313029188E-3</v>
      </c>
      <c r="F139" s="15">
        <f t="shared" si="8"/>
        <v>-2.3386342376052416E-2</v>
      </c>
    </row>
    <row r="140" spans="2:6" x14ac:dyDescent="0.2">
      <c r="B140" s="13">
        <v>45809</v>
      </c>
      <c r="C140" s="17">
        <v>1308</v>
      </c>
      <c r="D140" s="14">
        <v>2078</v>
      </c>
      <c r="E140" s="15">
        <f t="shared" si="7"/>
        <v>6.9284064665127154E-3</v>
      </c>
      <c r="F140" s="15">
        <f t="shared" si="8"/>
        <v>3.2290114257327307E-2</v>
      </c>
    </row>
    <row r="141" spans="2:6" x14ac:dyDescent="0.2">
      <c r="B141" s="13">
        <v>45839</v>
      </c>
      <c r="C141" s="17">
        <v>1313</v>
      </c>
      <c r="D141" s="14">
        <v>2083</v>
      </c>
      <c r="E141" s="15">
        <f t="shared" si="7"/>
        <v>3.8226299694190669E-3</v>
      </c>
      <c r="F141" s="15">
        <f t="shared" si="8"/>
        <v>-8.5673488814850263E-3</v>
      </c>
    </row>
    <row r="142" spans="2:6" x14ac:dyDescent="0.2">
      <c r="B142" s="13">
        <v>45870</v>
      </c>
      <c r="C142" s="17">
        <v>1328</v>
      </c>
      <c r="D142" s="14">
        <v>2129</v>
      </c>
      <c r="E142" s="15">
        <f t="shared" si="7"/>
        <v>2.2641509433962703E-3</v>
      </c>
      <c r="F142" s="15">
        <f t="shared" si="8"/>
        <v>-8.8454376163873416E-3</v>
      </c>
    </row>
    <row r="143" spans="2:6" x14ac:dyDescent="0.2">
      <c r="B143" s="13">
        <v>45901</v>
      </c>
      <c r="C143" s="17">
        <v>1343</v>
      </c>
      <c r="D143" s="14">
        <v>2199</v>
      </c>
      <c r="E143" s="15">
        <f t="shared" si="7"/>
        <v>9.0157776108188425E-3</v>
      </c>
      <c r="F143" s="15">
        <f t="shared" si="8"/>
        <v>-9.0867787369375286E-4</v>
      </c>
    </row>
    <row r="144" spans="2:6" x14ac:dyDescent="0.2">
      <c r="B144" s="13">
        <v>45931</v>
      </c>
      <c r="C144" s="17">
        <v>1345</v>
      </c>
      <c r="D144" s="14">
        <v>2218</v>
      </c>
      <c r="E144" s="15">
        <f t="shared" si="7"/>
        <v>1.35644310474754E-2</v>
      </c>
      <c r="F144" s="15">
        <f t="shared" si="8"/>
        <v>3.1659882406152029E-3</v>
      </c>
    </row>
    <row r="145" spans="2:6" x14ac:dyDescent="0.2">
      <c r="B145" s="13">
        <v>45962</v>
      </c>
      <c r="C145" s="17">
        <v>1337</v>
      </c>
      <c r="D145" s="14">
        <v>2197</v>
      </c>
      <c r="E145" s="15">
        <f t="shared" si="7"/>
        <v>2.2953328232593773E-2</v>
      </c>
      <c r="F145" s="15">
        <f t="shared" si="8"/>
        <v>2.1385402138540233E-2</v>
      </c>
    </row>
    <row r="146" spans="2:6" x14ac:dyDescent="0.2">
      <c r="B146" s="13">
        <v>45992</v>
      </c>
      <c r="C146" s="17">
        <v>1317</v>
      </c>
      <c r="D146" s="14">
        <v>2129</v>
      </c>
      <c r="E146" s="15">
        <f t="shared" si="7"/>
        <v>2.5700934579439227E-2</v>
      </c>
      <c r="F146" s="15">
        <f t="shared" si="8"/>
        <v>2.8005794302269349E-2</v>
      </c>
    </row>
    <row r="147" spans="2:6" x14ac:dyDescent="0.2">
      <c r="B147" s="13">
        <v>46023</v>
      </c>
      <c r="C147" s="17">
        <v>1302</v>
      </c>
      <c r="D147" s="14">
        <v>2078</v>
      </c>
      <c r="E147" s="15">
        <f t="shared" si="7"/>
        <v>2.4390243902439046E-2</v>
      </c>
      <c r="F147" s="15">
        <f t="shared" si="8"/>
        <v>2.6172839506172885E-2</v>
      </c>
    </row>
    <row r="148" spans="2:6" x14ac:dyDescent="0.2">
      <c r="B148" s="13">
        <v>46054</v>
      </c>
      <c r="C148" s="17">
        <v>1301</v>
      </c>
      <c r="D148" s="14">
        <v>2067</v>
      </c>
      <c r="E148" s="15">
        <f t="shared" si="7"/>
        <v>2.0392156862745203E-2</v>
      </c>
      <c r="F148" s="15">
        <f t="shared" si="8"/>
        <v>2.0236920039486739E-2</v>
      </c>
    </row>
    <row r="149" spans="2:6" x14ac:dyDescent="0.2">
      <c r="B149" s="13">
        <v>46082</v>
      </c>
      <c r="C149" s="17">
        <v>1311</v>
      </c>
      <c r="D149" s="14">
        <v>2097</v>
      </c>
      <c r="E149" s="15">
        <f t="shared" si="7"/>
        <v>1.7857142857142794E-2</v>
      </c>
      <c r="F149" s="15">
        <f t="shared" si="8"/>
        <v>1.8455560951918359E-2</v>
      </c>
    </row>
    <row r="150" spans="2:6" x14ac:dyDescent="0.2">
      <c r="B150" s="13">
        <v>46113</v>
      </c>
      <c r="C150" s="17">
        <v>1325</v>
      </c>
      <c r="D150" s="14">
        <v>2128</v>
      </c>
      <c r="E150" s="15">
        <f t="shared" si="7"/>
        <v>2.0801232665639491E-2</v>
      </c>
      <c r="F150" s="15">
        <f t="shared" si="8"/>
        <v>2.2585295530994642E-2</v>
      </c>
    </row>
  </sheetData>
  <hyperlinks>
    <hyperlink ref="C4" r:id="rId1" xr:uid="{D6BC1240-51FD-45B5-A69B-AE43A2ECA985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0AF4D-6980-495B-B878-3F74D105B980}">
  <dimension ref="A2:F272"/>
  <sheetViews>
    <sheetView topLeftCell="A4" zoomScale="82" zoomScaleNormal="82" workbookViewId="0">
      <selection activeCell="H14" sqref="H14"/>
    </sheetView>
  </sheetViews>
  <sheetFormatPr baseColWidth="10" defaultColWidth="8.85546875" defaultRowHeight="16" x14ac:dyDescent="0.2"/>
  <cols>
    <col min="1" max="2" width="8.85546875" style="52"/>
    <col min="3" max="3" width="15" style="52" customWidth="1"/>
    <col min="4" max="4" width="7.7109375" style="52" customWidth="1"/>
    <col min="5" max="5" width="15.5703125" style="52" customWidth="1"/>
    <col min="6" max="6" width="10.140625" style="52" customWidth="1"/>
    <col min="7" max="16384" width="8.85546875" style="52"/>
  </cols>
  <sheetData>
    <row r="2" spans="1:6" x14ac:dyDescent="0.2">
      <c r="B2" s="52" t="s">
        <v>1</v>
      </c>
      <c r="C2" s="52" t="s">
        <v>422</v>
      </c>
    </row>
    <row r="3" spans="1:6" x14ac:dyDescent="0.2">
      <c r="B3" s="52" t="s">
        <v>85</v>
      </c>
      <c r="C3" s="53">
        <v>46113</v>
      </c>
    </row>
    <row r="4" spans="1:6" x14ac:dyDescent="0.2">
      <c r="B4" s="52" t="s">
        <v>87</v>
      </c>
      <c r="C4" s="54"/>
    </row>
    <row r="5" spans="1:6" x14ac:dyDescent="0.2">
      <c r="B5" s="52" t="s">
        <v>89</v>
      </c>
      <c r="C5" s="52" t="s">
        <v>423</v>
      </c>
    </row>
    <row r="7" spans="1:6" x14ac:dyDescent="0.2">
      <c r="B7" s="66"/>
      <c r="C7" s="64" t="s">
        <v>424</v>
      </c>
      <c r="D7" s="65"/>
      <c r="E7" s="64" t="s">
        <v>425</v>
      </c>
      <c r="F7" s="65"/>
    </row>
    <row r="8" spans="1:6" x14ac:dyDescent="0.2">
      <c r="B8" s="66"/>
      <c r="C8" s="68" t="s">
        <v>426</v>
      </c>
      <c r="D8" s="69" t="s">
        <v>139</v>
      </c>
      <c r="E8" s="68" t="s">
        <v>426</v>
      </c>
      <c r="F8" s="69" t="s">
        <v>139</v>
      </c>
    </row>
    <row r="9" spans="1:6" x14ac:dyDescent="0.2">
      <c r="A9" s="57"/>
      <c r="B9" s="67" t="s">
        <v>427</v>
      </c>
      <c r="C9" s="63">
        <v>36.036714289688355</v>
      </c>
      <c r="D9" s="63">
        <v>26.470490936234398</v>
      </c>
      <c r="E9" s="63">
        <v>34.592379559797031</v>
      </c>
      <c r="F9" s="63">
        <v>63.6391546180229</v>
      </c>
    </row>
    <row r="10" spans="1:6" x14ac:dyDescent="0.2">
      <c r="A10" s="57"/>
      <c r="B10" s="67" t="s">
        <v>428</v>
      </c>
      <c r="C10" s="63">
        <v>0.82879659751511192</v>
      </c>
      <c r="D10" s="63">
        <v>5.4574777181520098</v>
      </c>
      <c r="E10" s="63">
        <v>15.256044371648105</v>
      </c>
      <c r="F10" s="63">
        <v>2.5403262513784801</v>
      </c>
    </row>
    <row r="11" spans="1:6" x14ac:dyDescent="0.2">
      <c r="A11" s="57"/>
      <c r="B11" s="67" t="s">
        <v>429</v>
      </c>
      <c r="C11" s="63">
        <v>17.163838390564941</v>
      </c>
      <c r="D11" s="63">
        <v>8.9415164704603107</v>
      </c>
      <c r="E11" s="63">
        <v>21.241760542002933</v>
      </c>
      <c r="F11" s="63">
        <v>17.580470306797299</v>
      </c>
    </row>
    <row r="12" spans="1:6" x14ac:dyDescent="0.2">
      <c r="A12" s="58"/>
      <c r="B12" s="67" t="s">
        <v>430</v>
      </c>
      <c r="C12" s="63">
        <v>6.3751245965215011</v>
      </c>
      <c r="D12" s="63">
        <v>-6.8989325276015796</v>
      </c>
      <c r="E12" s="63">
        <v>34.989595260009558</v>
      </c>
      <c r="F12" s="63">
        <v>61.9071909572111</v>
      </c>
    </row>
    <row r="13" spans="1:6" x14ac:dyDescent="0.2">
      <c r="A13" s="57"/>
      <c r="B13" s="67" t="s">
        <v>431</v>
      </c>
      <c r="C13" s="63">
        <v>1.006765345699725</v>
      </c>
      <c r="D13" s="63">
        <v>-44.245077801590398</v>
      </c>
      <c r="E13" s="63">
        <v>25.889170914540678</v>
      </c>
      <c r="F13" s="63">
        <v>46.187553351806102</v>
      </c>
    </row>
    <row r="14" spans="1:6" x14ac:dyDescent="0.2">
      <c r="A14" s="57"/>
      <c r="B14" s="67" t="s">
        <v>432</v>
      </c>
      <c r="C14" s="63">
        <v>10.152022836744214</v>
      </c>
      <c r="D14" s="63">
        <v>5.0779337835050802</v>
      </c>
      <c r="E14" s="63">
        <v>9.2601004527202768</v>
      </c>
      <c r="F14" s="63">
        <v>57.173428179820498</v>
      </c>
    </row>
    <row r="15" spans="1:6" x14ac:dyDescent="0.2">
      <c r="A15" s="57"/>
      <c r="B15" s="67" t="s">
        <v>433</v>
      </c>
      <c r="C15" s="63">
        <v>15.061367719043229</v>
      </c>
      <c r="D15" s="63">
        <v>25.675771477810301</v>
      </c>
      <c r="E15" s="63">
        <v>32.895100317559141</v>
      </c>
      <c r="F15" s="63">
        <v>48.144987299647298</v>
      </c>
    </row>
    <row r="16" spans="1:6" x14ac:dyDescent="0.2">
      <c r="A16" s="58"/>
      <c r="B16" s="67" t="s">
        <v>434</v>
      </c>
      <c r="C16" s="63">
        <v>11.275937897029078</v>
      </c>
      <c r="D16" s="63">
        <v>41.324283277535599</v>
      </c>
      <c r="E16" s="63">
        <v>14.63281803790936</v>
      </c>
      <c r="F16" s="63">
        <v>13.75004312619</v>
      </c>
    </row>
    <row r="17" spans="1:6" x14ac:dyDescent="0.2">
      <c r="A17" s="57"/>
      <c r="B17" s="67" t="s">
        <v>435</v>
      </c>
      <c r="C17" s="63">
        <v>34.279732433898218</v>
      </c>
      <c r="D17" s="63">
        <v>57.813679648657804</v>
      </c>
      <c r="E17" s="63">
        <v>16.573665918934104</v>
      </c>
      <c r="F17" s="63">
        <v>18.398690400907299</v>
      </c>
    </row>
    <row r="18" spans="1:6" x14ac:dyDescent="0.2">
      <c r="A18" s="57"/>
      <c r="B18" s="67" t="s">
        <v>436</v>
      </c>
      <c r="C18" s="63">
        <v>29.216764288578911</v>
      </c>
      <c r="D18" s="63">
        <v>43.035976345071703</v>
      </c>
      <c r="E18" s="63">
        <v>6.368950551818366</v>
      </c>
      <c r="F18" s="63">
        <v>17.972450611157001</v>
      </c>
    </row>
    <row r="19" spans="1:6" x14ac:dyDescent="0.2">
      <c r="A19" s="57"/>
      <c r="B19" s="67" t="s">
        <v>437</v>
      </c>
      <c r="C19" s="63">
        <v>24.352504567977945</v>
      </c>
      <c r="D19" s="63">
        <v>14.9996705058022</v>
      </c>
      <c r="E19" s="63">
        <v>10.316158008656345</v>
      </c>
      <c r="F19" s="63">
        <v>24.862155828533002</v>
      </c>
    </row>
    <row r="20" spans="1:6" x14ac:dyDescent="0.2">
      <c r="A20" s="58"/>
      <c r="B20" s="67" t="s">
        <v>438</v>
      </c>
      <c r="C20" s="63">
        <v>26.601837823746159</v>
      </c>
      <c r="D20" s="63">
        <v>28.948661392438598</v>
      </c>
      <c r="E20" s="63">
        <v>10.141416852951661</v>
      </c>
      <c r="F20" s="63">
        <v>25.952032247988601</v>
      </c>
    </row>
    <row r="21" spans="1:6" x14ac:dyDescent="0.2">
      <c r="A21" s="57"/>
      <c r="B21" s="67" t="s">
        <v>439</v>
      </c>
      <c r="C21" s="63">
        <v>19.083773950376663</v>
      </c>
      <c r="D21" s="63">
        <v>13.4795664997428</v>
      </c>
      <c r="E21" s="63">
        <v>16.000838104352518</v>
      </c>
      <c r="F21" s="63">
        <v>62.307061825383798</v>
      </c>
    </row>
    <row r="22" spans="1:6" x14ac:dyDescent="0.2">
      <c r="A22" s="57"/>
      <c r="B22" s="67" t="s">
        <v>440</v>
      </c>
      <c r="C22" s="63">
        <v>19.314892227721614</v>
      </c>
      <c r="D22" s="63">
        <v>-15.5584643842974</v>
      </c>
      <c r="E22" s="63">
        <v>39.997347043829848</v>
      </c>
      <c r="F22" s="63">
        <v>82.858470071316802</v>
      </c>
    </row>
    <row r="23" spans="1:6" x14ac:dyDescent="0.2">
      <c r="A23" s="57"/>
      <c r="B23" s="67" t="s">
        <v>441</v>
      </c>
      <c r="C23" s="63">
        <v>15.644438172518743</v>
      </c>
      <c r="D23" s="63">
        <v>-34.073227320771501</v>
      </c>
      <c r="E23" s="63">
        <v>33.126360683720478</v>
      </c>
      <c r="F23" s="63">
        <v>78.713465274986405</v>
      </c>
    </row>
    <row r="24" spans="1:6" x14ac:dyDescent="0.2">
      <c r="A24" s="58"/>
      <c r="B24" s="67" t="s">
        <v>442</v>
      </c>
      <c r="C24" s="63">
        <v>9.084694602455853</v>
      </c>
      <c r="D24" s="63">
        <v>-41.370251821988099</v>
      </c>
      <c r="E24" s="63">
        <v>44.320543009037053</v>
      </c>
      <c r="F24" s="63">
        <v>83.307704542769898</v>
      </c>
    </row>
    <row r="25" spans="1:6" x14ac:dyDescent="0.2">
      <c r="A25" s="57"/>
      <c r="B25" s="67" t="s">
        <v>443</v>
      </c>
      <c r="C25" s="63">
        <v>15.02028562147766</v>
      </c>
      <c r="D25" s="63">
        <v>17.003399670509701</v>
      </c>
      <c r="E25" s="63">
        <v>35.303395041403761</v>
      </c>
      <c r="F25" s="63">
        <v>49.899762582019797</v>
      </c>
    </row>
    <row r="26" spans="1:6" x14ac:dyDescent="0.2">
      <c r="A26" s="57"/>
      <c r="B26" s="67" t="s">
        <v>444</v>
      </c>
      <c r="C26" s="63">
        <v>13.881379500109835</v>
      </c>
      <c r="D26" s="63">
        <v>23.335521876784501</v>
      </c>
      <c r="E26" s="63">
        <v>23.603290224900149</v>
      </c>
      <c r="F26" s="63">
        <v>39.600363367758497</v>
      </c>
    </row>
    <row r="27" spans="1:6" x14ac:dyDescent="0.2">
      <c r="A27" s="57"/>
      <c r="B27" s="67" t="s">
        <v>445</v>
      </c>
      <c r="C27" s="63">
        <v>15.418124332914207</v>
      </c>
      <c r="D27" s="63">
        <v>34.434688947623997</v>
      </c>
      <c r="E27" s="63">
        <v>17.042325822232961</v>
      </c>
      <c r="F27" s="63">
        <v>18.820593842794299</v>
      </c>
    </row>
    <row r="28" spans="1:6" x14ac:dyDescent="0.2">
      <c r="A28" s="58"/>
      <c r="B28" s="67" t="s">
        <v>446</v>
      </c>
      <c r="C28" s="63">
        <v>27.109770902047707</v>
      </c>
      <c r="D28" s="63">
        <v>35.026237128959401</v>
      </c>
      <c r="E28" s="63">
        <v>14.911138313558743</v>
      </c>
      <c r="F28" s="63">
        <v>33.947237518427798</v>
      </c>
    </row>
    <row r="29" spans="1:6" x14ac:dyDescent="0.2">
      <c r="A29" s="57"/>
      <c r="B29" s="67" t="s">
        <v>447</v>
      </c>
      <c r="C29" s="63">
        <v>23.321171387040408</v>
      </c>
      <c r="D29" s="63">
        <v>17.0416153380122</v>
      </c>
      <c r="E29" s="63">
        <v>32.770534622817948</v>
      </c>
      <c r="F29" s="63">
        <v>34.788282692213201</v>
      </c>
    </row>
    <row r="30" spans="1:6" x14ac:dyDescent="0.2">
      <c r="A30" s="57"/>
      <c r="B30" s="67" t="s">
        <v>448</v>
      </c>
      <c r="C30" s="63">
        <v>19.458093597815743</v>
      </c>
      <c r="D30" s="63">
        <v>9.6470923912982105</v>
      </c>
      <c r="E30" s="63">
        <v>28.002193042547511</v>
      </c>
      <c r="F30" s="63">
        <v>7.1845858740482598</v>
      </c>
    </row>
    <row r="31" spans="1:6" x14ac:dyDescent="0.2">
      <c r="A31" s="57"/>
      <c r="B31" s="67" t="s">
        <v>449</v>
      </c>
      <c r="C31" s="63">
        <v>27.479453063663357</v>
      </c>
      <c r="D31" s="63">
        <v>24.4232612701528</v>
      </c>
      <c r="E31" s="63">
        <v>29.075266192371881</v>
      </c>
      <c r="F31" s="63">
        <v>29.9301546606107</v>
      </c>
    </row>
    <row r="32" spans="1:6" x14ac:dyDescent="0.2">
      <c r="A32" s="58"/>
      <c r="B32" s="67" t="s">
        <v>450</v>
      </c>
      <c r="C32" s="63">
        <v>24.374915516715774</v>
      </c>
      <c r="D32" s="63">
        <v>19.2380632801373</v>
      </c>
      <c r="E32" s="63">
        <v>30.458416180207497</v>
      </c>
      <c r="F32" s="63">
        <v>19.6938608182924</v>
      </c>
    </row>
    <row r="33" spans="1:6" x14ac:dyDescent="0.2">
      <c r="A33" s="57"/>
      <c r="B33" s="67" t="s">
        <v>451</v>
      </c>
      <c r="C33" s="63">
        <v>24.779167719473545</v>
      </c>
      <c r="D33" s="63">
        <v>5.6924683169856802</v>
      </c>
      <c r="E33" s="63">
        <v>10.98819806793411</v>
      </c>
      <c r="F33" s="63">
        <v>-2.0180217572645902</v>
      </c>
    </row>
    <row r="34" spans="1:6" x14ac:dyDescent="0.2">
      <c r="A34" s="57"/>
      <c r="B34" s="67" t="s">
        <v>452</v>
      </c>
      <c r="C34" s="63">
        <v>21.914930652592016</v>
      </c>
      <c r="D34" s="63">
        <v>21.600111886011899</v>
      </c>
      <c r="E34" s="63">
        <v>14.915834034983813</v>
      </c>
      <c r="F34" s="63">
        <v>-3.76910517378841</v>
      </c>
    </row>
    <row r="35" spans="1:6" x14ac:dyDescent="0.2">
      <c r="A35" s="57"/>
      <c r="B35" s="67" t="s">
        <v>453</v>
      </c>
      <c r="C35" s="63">
        <v>17.087866349243022</v>
      </c>
      <c r="D35" s="63">
        <v>12.3117151306206</v>
      </c>
      <c r="E35" s="63">
        <v>9.7950810789965566</v>
      </c>
      <c r="F35" s="63">
        <v>4.5976865369425797</v>
      </c>
    </row>
    <row r="36" spans="1:6" x14ac:dyDescent="0.2">
      <c r="A36" s="58"/>
      <c r="B36" s="67" t="s">
        <v>454</v>
      </c>
      <c r="C36" s="63">
        <v>22.284103587887856</v>
      </c>
      <c r="D36" s="63">
        <v>6.5265404497460802</v>
      </c>
      <c r="E36" s="63">
        <v>5.6014875266757018</v>
      </c>
      <c r="F36" s="63">
        <v>-4.97548940110293</v>
      </c>
    </row>
    <row r="37" spans="1:6" x14ac:dyDescent="0.2">
      <c r="A37" s="57"/>
      <c r="B37" s="67" t="s">
        <v>455</v>
      </c>
      <c r="C37" s="63">
        <v>24.118370042390957</v>
      </c>
      <c r="D37" s="63">
        <v>8.3323238686937806</v>
      </c>
      <c r="E37" s="63">
        <v>13.876704944145922</v>
      </c>
      <c r="F37" s="63">
        <v>7.2358623496811303</v>
      </c>
    </row>
    <row r="38" spans="1:6" x14ac:dyDescent="0.2">
      <c r="A38" s="57"/>
      <c r="B38" s="67" t="s">
        <v>456</v>
      </c>
      <c r="C38" s="63">
        <v>34.469959548252945</v>
      </c>
      <c r="D38" s="63">
        <v>46.297653862923198</v>
      </c>
      <c r="E38" s="63">
        <v>19.646050623270114</v>
      </c>
      <c r="F38" s="63">
        <v>15.662176705180499</v>
      </c>
    </row>
    <row r="39" spans="1:6" x14ac:dyDescent="0.2">
      <c r="A39" s="57"/>
      <c r="B39" s="67" t="s">
        <v>457</v>
      </c>
      <c r="C39" s="63">
        <v>25.047084823100857</v>
      </c>
      <c r="D39" s="63">
        <v>19.6065693788624</v>
      </c>
      <c r="E39" s="63">
        <v>26.322910840727069</v>
      </c>
      <c r="F39" s="63">
        <v>8.3410676600386005</v>
      </c>
    </row>
    <row r="40" spans="1:6" x14ac:dyDescent="0.2">
      <c r="A40" s="58"/>
      <c r="B40" s="67" t="s">
        <v>458</v>
      </c>
      <c r="C40" s="63">
        <v>24.863340290412474</v>
      </c>
      <c r="D40" s="63">
        <v>34.748812318730003</v>
      </c>
      <c r="E40" s="63">
        <v>17.729988193246729</v>
      </c>
      <c r="F40" s="63">
        <v>-15.985732935808899</v>
      </c>
    </row>
    <row r="41" spans="1:6" x14ac:dyDescent="0.2">
      <c r="A41" s="57"/>
      <c r="B41" s="67" t="s">
        <v>459</v>
      </c>
      <c r="C41" s="63">
        <v>28.494907240388631</v>
      </c>
      <c r="D41" s="63">
        <v>33.922332439231297</v>
      </c>
      <c r="E41" s="63">
        <v>15.355265576190506</v>
      </c>
      <c r="F41" s="63">
        <v>-18.866761877691001</v>
      </c>
    </row>
    <row r="42" spans="1:6" x14ac:dyDescent="0.2">
      <c r="A42" s="57"/>
      <c r="B42" s="67" t="s">
        <v>460</v>
      </c>
      <c r="C42" s="63">
        <v>26.520626536777524</v>
      </c>
      <c r="D42" s="63">
        <v>39.446515502685301</v>
      </c>
      <c r="E42" s="63">
        <v>4.1121172533100294</v>
      </c>
      <c r="F42" s="63">
        <v>-11.2151695876637</v>
      </c>
    </row>
    <row r="43" spans="1:6" x14ac:dyDescent="0.2">
      <c r="A43" s="57"/>
      <c r="B43" s="67" t="s">
        <v>461</v>
      </c>
      <c r="C43" s="63">
        <v>37.691796999932151</v>
      </c>
      <c r="D43" s="63">
        <v>55.977137004562202</v>
      </c>
      <c r="E43" s="63">
        <v>13.08120537656152</v>
      </c>
      <c r="F43" s="63">
        <v>-30.232768454788499</v>
      </c>
    </row>
    <row r="44" spans="1:6" x14ac:dyDescent="0.2">
      <c r="A44" s="58"/>
      <c r="B44" s="67" t="s">
        <v>462</v>
      </c>
      <c r="C44" s="63">
        <v>19.475429665422887</v>
      </c>
      <c r="D44" s="63">
        <v>25.421625084936299</v>
      </c>
      <c r="E44" s="63">
        <v>9.6380714604985513</v>
      </c>
      <c r="F44" s="63">
        <v>21.4222811566374</v>
      </c>
    </row>
    <row r="45" spans="1:6" x14ac:dyDescent="0.2">
      <c r="A45" s="57"/>
      <c r="B45" s="67" t="s">
        <v>463</v>
      </c>
      <c r="C45" s="63">
        <v>30.220832886515819</v>
      </c>
      <c r="D45" s="63">
        <v>34.528515662570001</v>
      </c>
      <c r="E45" s="63">
        <v>15.59806222665326</v>
      </c>
      <c r="F45" s="63">
        <v>38.286404315974004</v>
      </c>
    </row>
    <row r="46" spans="1:6" x14ac:dyDescent="0.2">
      <c r="A46" s="57"/>
      <c r="B46" s="67" t="s">
        <v>464</v>
      </c>
      <c r="C46" s="63">
        <v>27.946877464199321</v>
      </c>
      <c r="D46" s="63">
        <v>15.0314773097915</v>
      </c>
      <c r="E46" s="63">
        <v>6.5766867805525262</v>
      </c>
      <c r="F46" s="63">
        <v>17.438823518724199</v>
      </c>
    </row>
    <row r="47" spans="1:6" x14ac:dyDescent="0.2">
      <c r="A47" s="57"/>
      <c r="B47" s="67" t="s">
        <v>465</v>
      </c>
      <c r="C47" s="63">
        <v>22.575331917886857</v>
      </c>
      <c r="D47" s="63">
        <v>7.9833214186566899</v>
      </c>
      <c r="E47" s="63">
        <v>4.4855440644294529</v>
      </c>
      <c r="F47" s="63">
        <v>15.7253426035524</v>
      </c>
    </row>
    <row r="48" spans="1:6" x14ac:dyDescent="0.2">
      <c r="A48" s="58"/>
      <c r="B48" s="67" t="s">
        <v>466</v>
      </c>
      <c r="C48" s="63">
        <v>40.124203782328664</v>
      </c>
      <c r="D48" s="63">
        <v>20.741348981428398</v>
      </c>
      <c r="E48" s="63">
        <v>36.178082908636576</v>
      </c>
      <c r="F48" s="63">
        <v>31.130684493989499</v>
      </c>
    </row>
    <row r="49" spans="1:6" x14ac:dyDescent="0.2">
      <c r="A49" s="58"/>
      <c r="B49" s="67" t="s">
        <v>467</v>
      </c>
      <c r="C49" s="63">
        <v>48.892047038072498</v>
      </c>
      <c r="D49" s="63">
        <v>14.0651383640747</v>
      </c>
      <c r="E49" s="63">
        <v>55.455544038885662</v>
      </c>
      <c r="F49" s="63">
        <v>47.769200943073002</v>
      </c>
    </row>
    <row r="50" spans="1:6" x14ac:dyDescent="0.2">
      <c r="A50" s="58"/>
      <c r="B50" s="67" t="s">
        <v>468</v>
      </c>
      <c r="C50" s="63">
        <v>37.378273460051858</v>
      </c>
      <c r="D50" s="63">
        <v>-20.4708906480849</v>
      </c>
      <c r="E50" s="63">
        <v>67.050968598401582</v>
      </c>
      <c r="F50" s="63">
        <v>69.008858648511406</v>
      </c>
    </row>
    <row r="51" spans="1:6" x14ac:dyDescent="0.2">
      <c r="A51" s="57"/>
      <c r="B51" s="67" t="s">
        <v>469</v>
      </c>
      <c r="C51" s="63">
        <v>46.978390713059724</v>
      </c>
      <c r="D51" s="63">
        <v>58.5489656978664</v>
      </c>
      <c r="E51" s="63">
        <v>52.97891086063305</v>
      </c>
      <c r="F51" s="63">
        <v>61.326561130285199</v>
      </c>
    </row>
    <row r="52" spans="1:6" x14ac:dyDescent="0.2">
      <c r="A52" s="57"/>
      <c r="B52" s="67" t="s">
        <v>470</v>
      </c>
      <c r="C52" s="63">
        <v>26.830142980482464</v>
      </c>
      <c r="D52" s="63">
        <v>-21.439780589637699</v>
      </c>
      <c r="E52" s="63">
        <v>23.601130114282828</v>
      </c>
      <c r="F52" s="63">
        <v>34.538007228577001</v>
      </c>
    </row>
    <row r="53" spans="1:6" x14ac:dyDescent="0.2">
      <c r="A53" s="59"/>
      <c r="B53" s="67" t="s">
        <v>471</v>
      </c>
      <c r="C53" s="63">
        <v>22.89596362975842</v>
      </c>
      <c r="D53" s="63">
        <v>40.6554865794796</v>
      </c>
      <c r="E53" s="63">
        <v>3.3976334737945257</v>
      </c>
      <c r="F53" s="63">
        <v>24.5363544689809</v>
      </c>
    </row>
    <row r="54" spans="1:6" x14ac:dyDescent="0.2">
      <c r="A54" s="59"/>
      <c r="B54" s="67" t="s">
        <v>472</v>
      </c>
      <c r="C54" s="63">
        <v>21.619567873938244</v>
      </c>
      <c r="D54" s="63">
        <v>35.698694866408303</v>
      </c>
      <c r="E54" s="63">
        <v>-12.949244578317792</v>
      </c>
      <c r="F54" s="63">
        <v>-7.8032776820123004</v>
      </c>
    </row>
    <row r="55" spans="1:6" x14ac:dyDescent="0.2">
      <c r="A55" s="57"/>
      <c r="B55" s="67" t="s">
        <v>473</v>
      </c>
      <c r="C55" s="63">
        <v>25.931896150827086</v>
      </c>
      <c r="D55" s="63">
        <v>14.2908999957611</v>
      </c>
      <c r="E55" s="63">
        <v>-17.221270521020408</v>
      </c>
      <c r="F55" s="63">
        <v>-0.63235111010560796</v>
      </c>
    </row>
    <row r="56" spans="1:6" x14ac:dyDescent="0.2">
      <c r="A56" s="57"/>
      <c r="B56" s="67" t="s">
        <v>474</v>
      </c>
      <c r="C56" s="63">
        <v>27.299200627858841</v>
      </c>
      <c r="D56" s="63">
        <v>35.419843578129701</v>
      </c>
      <c r="E56" s="63">
        <v>-14.201205149905983</v>
      </c>
      <c r="F56" s="63">
        <v>8.8796520473842104</v>
      </c>
    </row>
    <row r="57" spans="1:6" x14ac:dyDescent="0.2">
      <c r="A57" s="59"/>
      <c r="B57" s="67" t="s">
        <v>475</v>
      </c>
      <c r="C57" s="63">
        <v>34.922823954004507</v>
      </c>
      <c r="D57" s="63">
        <v>46.800744327976098</v>
      </c>
      <c r="E57" s="63">
        <v>-0.50444455317234005</v>
      </c>
      <c r="F57" s="63">
        <v>-24.546333368135699</v>
      </c>
    </row>
    <row r="58" spans="1:6" x14ac:dyDescent="0.2">
      <c r="A58" s="59"/>
      <c r="B58" s="67" t="s">
        <v>476</v>
      </c>
      <c r="C58" s="63">
        <v>42.591106209576772</v>
      </c>
      <c r="D58" s="63">
        <v>59.0589878746406</v>
      </c>
      <c r="E58" s="63">
        <v>-4.7847804195882402</v>
      </c>
      <c r="F58" s="63">
        <v>-10.473104816217401</v>
      </c>
    </row>
    <row r="59" spans="1:6" x14ac:dyDescent="0.2">
      <c r="A59" s="57"/>
      <c r="B59" s="67" t="s">
        <v>477</v>
      </c>
      <c r="C59" s="63">
        <v>36.874464157357558</v>
      </c>
      <c r="D59" s="63">
        <v>55.791442223171003</v>
      </c>
      <c r="E59" s="63">
        <v>3.3021572442976082</v>
      </c>
      <c r="F59" s="63">
        <v>8.6561115416437602</v>
      </c>
    </row>
    <row r="60" spans="1:6" x14ac:dyDescent="0.2">
      <c r="A60" s="57"/>
      <c r="B60" s="67" t="s">
        <v>478</v>
      </c>
      <c r="C60" s="63">
        <v>45.419798027575183</v>
      </c>
      <c r="D60" s="63">
        <v>52.822245160801302</v>
      </c>
      <c r="E60" s="63">
        <v>0.4658761610187363</v>
      </c>
      <c r="F60" s="63">
        <v>18.279729943201801</v>
      </c>
    </row>
    <row r="61" spans="1:6" x14ac:dyDescent="0.2">
      <c r="A61" s="59"/>
      <c r="B61" s="67" t="s">
        <v>479</v>
      </c>
      <c r="C61" s="63">
        <v>31.224469089810384</v>
      </c>
      <c r="D61" s="63">
        <v>29.639739181769801</v>
      </c>
      <c r="E61" s="63">
        <v>10.741384254768175</v>
      </c>
      <c r="F61" s="63">
        <v>-1.26289275002086</v>
      </c>
    </row>
    <row r="62" spans="1:6" x14ac:dyDescent="0.2">
      <c r="A62" s="59"/>
      <c r="B62" s="67" t="s">
        <v>480</v>
      </c>
      <c r="C62" s="63">
        <v>32.385651961864291</v>
      </c>
      <c r="D62" s="63">
        <v>13.2679119988798</v>
      </c>
      <c r="E62" s="63">
        <v>11.275995659048029</v>
      </c>
      <c r="F62" s="63">
        <v>13.3347277815481</v>
      </c>
    </row>
    <row r="63" spans="1:6" x14ac:dyDescent="0.2">
      <c r="A63" s="57"/>
      <c r="B63" s="67" t="s">
        <v>481</v>
      </c>
      <c r="C63" s="63">
        <v>19.270279330883763</v>
      </c>
      <c r="D63" s="63">
        <v>-7.3134127321256299</v>
      </c>
      <c r="E63" s="63">
        <v>10.731667522600759</v>
      </c>
      <c r="F63" s="63">
        <v>-4.2953342825690299</v>
      </c>
    </row>
    <row r="64" spans="1:6" x14ac:dyDescent="0.2">
      <c r="A64" s="59"/>
      <c r="B64" s="67" t="s">
        <v>482</v>
      </c>
      <c r="C64" s="63">
        <v>26.188597005606972</v>
      </c>
      <c r="D64" s="63">
        <v>-6.9437610807122603</v>
      </c>
      <c r="E64" s="63">
        <v>8.3885137673573844</v>
      </c>
      <c r="F64" s="63">
        <v>-24.4290222530508</v>
      </c>
    </row>
    <row r="65" spans="1:6" x14ac:dyDescent="0.2">
      <c r="A65" s="59"/>
      <c r="B65" s="67" t="s">
        <v>483</v>
      </c>
      <c r="C65" s="63">
        <v>13.167610389882432</v>
      </c>
      <c r="D65" s="63">
        <v>-22.0696033593842</v>
      </c>
      <c r="E65" s="63">
        <v>9.9774618105356883</v>
      </c>
      <c r="F65" s="63">
        <v>9.4237857393949103</v>
      </c>
    </row>
    <row r="66" spans="1:6" x14ac:dyDescent="0.2">
      <c r="A66" s="59"/>
      <c r="B66" s="67" t="s">
        <v>484</v>
      </c>
      <c r="C66" s="63">
        <v>25.409257212253671</v>
      </c>
      <c r="D66" s="63">
        <v>21.4854649912896</v>
      </c>
      <c r="E66" s="63">
        <v>17.9867563607446</v>
      </c>
      <c r="F66" s="63">
        <v>39.807776497610703</v>
      </c>
    </row>
    <row r="67" spans="1:6" x14ac:dyDescent="0.2">
      <c r="A67" s="60"/>
      <c r="B67" s="67" t="s">
        <v>485</v>
      </c>
      <c r="C67" s="63">
        <v>43.43912827121428</v>
      </c>
      <c r="D67" s="63">
        <v>13.968699845165499</v>
      </c>
      <c r="E67" s="63">
        <v>14.783947694445606</v>
      </c>
      <c r="F67" s="63">
        <v>2.4133657100194701</v>
      </c>
    </row>
    <row r="68" spans="1:6" x14ac:dyDescent="0.2">
      <c r="B68" s="67" t="s">
        <v>486</v>
      </c>
      <c r="C68" s="63">
        <v>22.665082311264193</v>
      </c>
      <c r="D68" s="63">
        <v>-5.7298154778957899</v>
      </c>
      <c r="E68" s="63">
        <v>14.631374407617754</v>
      </c>
      <c r="F68" s="63">
        <v>32.679976726698399</v>
      </c>
    </row>
    <row r="69" spans="1:6" x14ac:dyDescent="0.2">
      <c r="B69" s="67" t="s">
        <v>487</v>
      </c>
      <c r="C69" s="63">
        <v>23.411194980919014</v>
      </c>
      <c r="D69" s="63">
        <v>-12.206723208803799</v>
      </c>
      <c r="E69" s="63">
        <v>12.263665771152327</v>
      </c>
      <c r="F69" s="63">
        <v>60.761363399384599</v>
      </c>
    </row>
    <row r="70" spans="1:6" x14ac:dyDescent="0.2">
      <c r="B70" s="67" t="s">
        <v>488</v>
      </c>
      <c r="C70" s="63">
        <v>12.664163961458952</v>
      </c>
      <c r="D70" s="63">
        <v>-10.109650094259999</v>
      </c>
      <c r="E70" s="63">
        <v>5.1213391275536058</v>
      </c>
      <c r="F70" s="63">
        <v>16.118659107932899</v>
      </c>
    </row>
    <row r="71" spans="1:6" x14ac:dyDescent="0.2">
      <c r="A71" s="56"/>
      <c r="B71" s="67" t="s">
        <v>489</v>
      </c>
      <c r="C71" s="63">
        <v>14.132924970605016</v>
      </c>
      <c r="D71" s="63">
        <v>35.310718196271701</v>
      </c>
      <c r="E71" s="63">
        <v>1.737916009703548</v>
      </c>
      <c r="F71" s="63">
        <v>20.795097442732299</v>
      </c>
    </row>
    <row r="72" spans="1:6" x14ac:dyDescent="0.2">
      <c r="B72" s="67" t="s">
        <v>490</v>
      </c>
      <c r="C72" s="63">
        <v>14.23718880139398</v>
      </c>
      <c r="D72" s="63">
        <v>5.8346265443171896</v>
      </c>
      <c r="E72" s="63">
        <v>-0.50757704757559752</v>
      </c>
      <c r="F72" s="63">
        <v>20.317704020847899</v>
      </c>
    </row>
    <row r="73" spans="1:6" x14ac:dyDescent="0.2">
      <c r="B73" s="67" t="s">
        <v>491</v>
      </c>
      <c r="C73" s="63">
        <v>27.014044038332056</v>
      </c>
      <c r="D73" s="63">
        <v>19.945628468165399</v>
      </c>
      <c r="E73" s="63">
        <v>-7.0575716755343771</v>
      </c>
      <c r="F73" s="63">
        <v>20.893665781943898</v>
      </c>
    </row>
    <row r="74" spans="1:6" x14ac:dyDescent="0.2">
      <c r="B74" s="67" t="s">
        <v>492</v>
      </c>
      <c r="C74" s="63">
        <v>18.835076523198069</v>
      </c>
      <c r="D74" s="63">
        <v>4.6765609626158904</v>
      </c>
      <c r="E74" s="63">
        <v>-8.4622680235431851</v>
      </c>
      <c r="F74" s="63">
        <v>8.8278662134748807</v>
      </c>
    </row>
    <row r="75" spans="1:6" x14ac:dyDescent="0.2">
      <c r="A75" s="56"/>
      <c r="B75" s="67" t="s">
        <v>493</v>
      </c>
      <c r="C75" s="63">
        <v>20.598700866707812</v>
      </c>
      <c r="D75" s="63">
        <v>28.407566456099602</v>
      </c>
      <c r="E75" s="63">
        <v>-1.7722231425596893</v>
      </c>
      <c r="F75" s="63">
        <v>13.1618440603495</v>
      </c>
    </row>
    <row r="76" spans="1:6" x14ac:dyDescent="0.2">
      <c r="B76" s="67" t="s">
        <v>494</v>
      </c>
      <c r="C76" s="63">
        <v>37.850463335582219</v>
      </c>
      <c r="D76" s="63">
        <v>16.9357033550171</v>
      </c>
      <c r="E76" s="63">
        <v>6.6366661952920545</v>
      </c>
      <c r="F76" s="63">
        <v>20.697548476229599</v>
      </c>
    </row>
    <row r="77" spans="1:6" x14ac:dyDescent="0.2">
      <c r="B77" s="67" t="s">
        <v>495</v>
      </c>
      <c r="C77" s="63">
        <v>34.257269541717385</v>
      </c>
      <c r="D77" s="63">
        <v>17.6692175768037</v>
      </c>
      <c r="E77" s="63">
        <v>7.9163896563413862</v>
      </c>
      <c r="F77" s="63">
        <v>12.7907231676012</v>
      </c>
    </row>
    <row r="78" spans="1:6" x14ac:dyDescent="0.2">
      <c r="B78" s="67" t="s">
        <v>496</v>
      </c>
      <c r="C78" s="63">
        <v>26.040477945296985</v>
      </c>
      <c r="D78" s="63">
        <v>24.2534056707172</v>
      </c>
      <c r="E78" s="63">
        <v>4.2630027875974328</v>
      </c>
      <c r="F78" s="63">
        <v>21.977691379413599</v>
      </c>
    </row>
    <row r="79" spans="1:6" x14ac:dyDescent="0.2">
      <c r="A79" s="56"/>
      <c r="B79" s="67" t="s">
        <v>497</v>
      </c>
      <c r="C79" s="63">
        <v>27.553245035541977</v>
      </c>
      <c r="D79" s="63">
        <v>19.607443871391901</v>
      </c>
      <c r="E79" s="63">
        <v>0.6128314256623556</v>
      </c>
      <c r="F79" s="63">
        <v>27.0606603760274</v>
      </c>
    </row>
    <row r="80" spans="1:6" x14ac:dyDescent="0.2">
      <c r="A80" s="56"/>
      <c r="B80" s="67" t="s">
        <v>498</v>
      </c>
      <c r="C80" s="63">
        <v>21.997194572721249</v>
      </c>
      <c r="D80" s="63">
        <v>-4.5722982276322401</v>
      </c>
      <c r="E80" s="63">
        <v>4.7623183341933162</v>
      </c>
      <c r="F80" s="63">
        <v>29.326231029209399</v>
      </c>
    </row>
    <row r="81" spans="1:6" x14ac:dyDescent="0.2">
      <c r="A81" s="56"/>
      <c r="B81" s="67" t="s">
        <v>499</v>
      </c>
      <c r="C81" s="63">
        <v>10.516595438679706</v>
      </c>
      <c r="D81" s="63">
        <v>-14.498258270940701</v>
      </c>
      <c r="E81" s="63">
        <v>-2.2020162964675118</v>
      </c>
      <c r="F81" s="63">
        <v>6.8425966764278696</v>
      </c>
    </row>
    <row r="82" spans="1:6" x14ac:dyDescent="0.2">
      <c r="A82" s="56"/>
      <c r="B82" s="67" t="s">
        <v>500</v>
      </c>
      <c r="C82" s="63">
        <v>25.548008196299428</v>
      </c>
      <c r="D82" s="63">
        <v>-15.5988954970524</v>
      </c>
      <c r="E82" s="63">
        <v>-3.2381010715045946</v>
      </c>
      <c r="F82" s="63">
        <v>14.516899930563699</v>
      </c>
    </row>
    <row r="83" spans="1:6" x14ac:dyDescent="0.2">
      <c r="A83" s="56"/>
      <c r="B83" s="67" t="s">
        <v>501</v>
      </c>
      <c r="C83" s="63">
        <v>12.481240544723644</v>
      </c>
      <c r="D83" s="63">
        <v>-18.066575445828001</v>
      </c>
      <c r="E83" s="63">
        <v>-1.1057867257167149</v>
      </c>
      <c r="F83" s="63">
        <v>20.535626239537901</v>
      </c>
    </row>
    <row r="84" spans="1:6" x14ac:dyDescent="0.2">
      <c r="A84" s="56"/>
      <c r="B84" s="67" t="s">
        <v>502</v>
      </c>
      <c r="C84" s="63">
        <v>14.246264770856758</v>
      </c>
      <c r="D84" s="63">
        <v>-6.6055385371214399</v>
      </c>
      <c r="E84" s="63">
        <v>0.32561058814075783</v>
      </c>
      <c r="F84" s="63">
        <v>4.5167535067742302</v>
      </c>
    </row>
    <row r="85" spans="1:6" x14ac:dyDescent="0.2">
      <c r="A85" s="56"/>
      <c r="B85" s="67" t="s">
        <v>503</v>
      </c>
      <c r="C85" s="63">
        <v>6.800753140230765</v>
      </c>
      <c r="D85" s="63">
        <v>-10.689911969378</v>
      </c>
      <c r="E85" s="63">
        <v>-10.285051677605637</v>
      </c>
      <c r="F85" s="63">
        <v>0.65188531881996603</v>
      </c>
    </row>
    <row r="86" spans="1:6" x14ac:dyDescent="0.2">
      <c r="A86" s="56"/>
      <c r="B86" s="67" t="s">
        <v>504</v>
      </c>
      <c r="C86" s="63">
        <v>-0.34893596962393048</v>
      </c>
      <c r="D86" s="63">
        <v>-13.815289897263799</v>
      </c>
      <c r="E86" s="63">
        <v>-6.0584546842992797</v>
      </c>
      <c r="F86" s="63">
        <v>-2.2347430621026301</v>
      </c>
    </row>
    <row r="87" spans="1:6" x14ac:dyDescent="0.2">
      <c r="A87" s="56"/>
      <c r="B87" s="67" t="s">
        <v>505</v>
      </c>
      <c r="C87" s="63">
        <v>6.7901110874427317</v>
      </c>
      <c r="D87" s="63">
        <v>6.6023551149662296E-2</v>
      </c>
      <c r="E87" s="63">
        <v>-7.4748700228461029</v>
      </c>
      <c r="F87" s="63">
        <v>-7.2289312304540498</v>
      </c>
    </row>
    <row r="88" spans="1:6" x14ac:dyDescent="0.2">
      <c r="A88" s="56"/>
      <c r="B88" s="67" t="s">
        <v>506</v>
      </c>
      <c r="C88" s="63">
        <v>3.3158143767559931</v>
      </c>
      <c r="D88" s="63">
        <v>8.6591232054991902</v>
      </c>
      <c r="E88" s="63">
        <v>-12.679695488440963</v>
      </c>
      <c r="F88" s="63">
        <v>-17.9943782727917</v>
      </c>
    </row>
    <row r="89" spans="1:6" x14ac:dyDescent="0.2">
      <c r="A89" s="56"/>
      <c r="B89" s="67" t="s">
        <v>507</v>
      </c>
      <c r="C89" s="63">
        <v>10.670792963377249</v>
      </c>
      <c r="D89" s="63">
        <v>10.316408843341099</v>
      </c>
      <c r="E89" s="63">
        <v>-13.574035626801955</v>
      </c>
      <c r="F89" s="63">
        <v>-8.1698697516763694</v>
      </c>
    </row>
    <row r="90" spans="1:6" x14ac:dyDescent="0.2">
      <c r="A90" s="56"/>
      <c r="B90" s="67" t="s">
        <v>508</v>
      </c>
      <c r="C90" s="63">
        <v>5.8877669536498427</v>
      </c>
      <c r="D90" s="63">
        <v>17.7655127989295</v>
      </c>
      <c r="E90" s="63">
        <v>-13.806778532091341</v>
      </c>
      <c r="F90" s="63">
        <v>-5.9764217143450997</v>
      </c>
    </row>
    <row r="91" spans="1:6" x14ac:dyDescent="0.2">
      <c r="A91" s="56"/>
      <c r="B91" s="67" t="s">
        <v>509</v>
      </c>
      <c r="C91" s="63">
        <v>10.172734439472897</v>
      </c>
      <c r="D91" s="63">
        <v>13.659956714821901</v>
      </c>
      <c r="E91" s="63">
        <v>-11.917621852165674</v>
      </c>
      <c r="F91" s="63">
        <v>-7.1181220786652402</v>
      </c>
    </row>
    <row r="92" spans="1:6" x14ac:dyDescent="0.2">
      <c r="A92" s="56"/>
      <c r="B92" s="67" t="s">
        <v>510</v>
      </c>
      <c r="C92" s="63">
        <v>14.418237726830284</v>
      </c>
      <c r="D92" s="63">
        <v>19.6906534962256</v>
      </c>
      <c r="E92" s="63">
        <v>-9.9401016385325676</v>
      </c>
      <c r="F92" s="63">
        <v>5.9839554026538897</v>
      </c>
    </row>
    <row r="93" spans="1:6" x14ac:dyDescent="0.2">
      <c r="A93" s="56"/>
      <c r="B93" s="67" t="s">
        <v>511</v>
      </c>
      <c r="C93" s="63">
        <v>16.198161319882384</v>
      </c>
      <c r="D93" s="63">
        <v>27.301875009326199</v>
      </c>
      <c r="E93" s="63">
        <v>-16.721076294253766</v>
      </c>
      <c r="F93" s="63">
        <v>-29.5462982962575</v>
      </c>
    </row>
    <row r="94" spans="1:6" x14ac:dyDescent="0.2">
      <c r="A94" s="56"/>
      <c r="B94" s="67" t="s">
        <v>512</v>
      </c>
      <c r="C94" s="63">
        <v>21.201995876052738</v>
      </c>
      <c r="D94" s="63">
        <v>15.4747862584472</v>
      </c>
      <c r="E94" s="63">
        <v>-20.530366182305759</v>
      </c>
      <c r="F94" s="63">
        <v>-32.1367575121077</v>
      </c>
    </row>
    <row r="95" spans="1:6" x14ac:dyDescent="0.2">
      <c r="A95" s="56"/>
      <c r="B95" s="67" t="s">
        <v>513</v>
      </c>
      <c r="C95" s="63">
        <v>24.664512499467889</v>
      </c>
      <c r="D95" s="63">
        <v>23.171879993146</v>
      </c>
      <c r="E95" s="63">
        <v>-12.076321637741026</v>
      </c>
      <c r="F95" s="63">
        <v>-13.798274161746299</v>
      </c>
    </row>
    <row r="96" spans="1:6" x14ac:dyDescent="0.2">
      <c r="A96" s="56"/>
      <c r="B96" s="67" t="s">
        <v>514</v>
      </c>
      <c r="C96" s="63">
        <v>-45.776681622082471</v>
      </c>
      <c r="D96" s="63">
        <v>-63.018133088834801</v>
      </c>
      <c r="E96" s="63">
        <v>-63.581724264962283</v>
      </c>
      <c r="F96" s="63">
        <v>-58.747331263518099</v>
      </c>
    </row>
    <row r="97" spans="1:6" x14ac:dyDescent="0.2">
      <c r="A97" s="56"/>
      <c r="B97" s="67" t="s">
        <v>394</v>
      </c>
      <c r="C97" s="63">
        <v>35.990286485120194</v>
      </c>
      <c r="D97" s="63">
        <v>-9.5859545307488503</v>
      </c>
      <c r="E97" s="63">
        <v>3.8373901790290295</v>
      </c>
      <c r="F97" s="63">
        <v>15.4879273323603</v>
      </c>
    </row>
    <row r="98" spans="1:6" x14ac:dyDescent="0.2">
      <c r="A98" s="56"/>
      <c r="B98" s="67" t="s">
        <v>395</v>
      </c>
      <c r="C98" s="63">
        <v>21.390530876199644</v>
      </c>
      <c r="D98" s="63">
        <v>-39.447829065827101</v>
      </c>
      <c r="E98" s="63">
        <v>-6.4123436562860512</v>
      </c>
      <c r="F98" s="63">
        <v>27.1175892231036</v>
      </c>
    </row>
    <row r="99" spans="1:6" x14ac:dyDescent="0.2">
      <c r="A99" s="56"/>
      <c r="B99" s="67" t="s">
        <v>396</v>
      </c>
      <c r="C99" s="63">
        <v>13.018476001669734</v>
      </c>
      <c r="D99" s="63">
        <v>-25.474347756515499</v>
      </c>
      <c r="E99" s="63">
        <v>-17.420699419933314</v>
      </c>
      <c r="F99" s="63">
        <v>-0.85701019709500204</v>
      </c>
    </row>
    <row r="100" spans="1:6" x14ac:dyDescent="0.2">
      <c r="A100" s="56"/>
      <c r="B100" s="67" t="s">
        <v>397</v>
      </c>
      <c r="C100" s="63">
        <v>58.485411891377439</v>
      </c>
      <c r="D100" s="63">
        <v>30.025697708373901</v>
      </c>
      <c r="E100" s="63">
        <v>-6.6306573107488109</v>
      </c>
      <c r="F100" s="63">
        <v>-12.645211926403601</v>
      </c>
    </row>
    <row r="101" spans="1:6" x14ac:dyDescent="0.2">
      <c r="A101" s="56"/>
      <c r="B101" s="67" t="s">
        <v>398</v>
      </c>
      <c r="C101" s="63">
        <v>51.304882100908117</v>
      </c>
      <c r="D101" s="63">
        <v>48.357996535268001</v>
      </c>
      <c r="E101" s="63">
        <v>-20.727235912474303</v>
      </c>
      <c r="F101" s="63">
        <v>-8.4105406525924202</v>
      </c>
    </row>
    <row r="102" spans="1:6" x14ac:dyDescent="0.2">
      <c r="A102" s="56"/>
      <c r="B102" s="67" t="s">
        <v>399</v>
      </c>
      <c r="C102" s="63">
        <v>50.762912192907613</v>
      </c>
      <c r="D102" s="63">
        <v>79.673893805333904</v>
      </c>
      <c r="E102" s="63">
        <v>-27.717139370982853</v>
      </c>
      <c r="F102" s="63">
        <v>-8.2994774157297098</v>
      </c>
    </row>
    <row r="103" spans="1:6" x14ac:dyDescent="0.2">
      <c r="A103" s="56"/>
      <c r="B103" s="67" t="s">
        <v>400</v>
      </c>
      <c r="C103" s="63">
        <v>62.771005096717559</v>
      </c>
      <c r="D103" s="63">
        <v>73.474466280432594</v>
      </c>
      <c r="E103" s="63">
        <v>-13.927608125009005</v>
      </c>
      <c r="F103" s="63">
        <v>12.042097610764101</v>
      </c>
    </row>
    <row r="104" spans="1:6" x14ac:dyDescent="0.2">
      <c r="A104" s="56"/>
      <c r="B104" s="67" t="s">
        <v>401</v>
      </c>
      <c r="C104" s="63">
        <v>50.290824241320237</v>
      </c>
      <c r="D104" s="63">
        <v>65.5964038056795</v>
      </c>
      <c r="E104" s="63">
        <v>-8.7299935201219476</v>
      </c>
      <c r="F104" s="63">
        <v>-4.5565464772334296</v>
      </c>
    </row>
    <row r="105" spans="1:6" x14ac:dyDescent="0.2">
      <c r="A105" s="56"/>
      <c r="B105" s="67" t="s">
        <v>402</v>
      </c>
      <c r="C105" s="63">
        <v>35.84294136137332</v>
      </c>
      <c r="D105" s="63">
        <v>47.250332513163798</v>
      </c>
      <c r="E105" s="63">
        <v>-8.0952565910196395</v>
      </c>
      <c r="F105" s="63">
        <v>-12.699241551823</v>
      </c>
    </row>
    <row r="106" spans="1:6" x14ac:dyDescent="0.2">
      <c r="A106" s="56"/>
      <c r="B106" s="67" t="s">
        <v>403</v>
      </c>
      <c r="C106" s="63">
        <v>47.535015243035879</v>
      </c>
      <c r="D106" s="63">
        <v>63.5080999154751</v>
      </c>
      <c r="E106" s="63">
        <v>-14.594204739832144</v>
      </c>
      <c r="F106" s="63">
        <v>-20.7753929422928</v>
      </c>
    </row>
    <row r="107" spans="1:6" x14ac:dyDescent="0.2">
      <c r="A107" s="56"/>
      <c r="B107" s="67" t="s">
        <v>404</v>
      </c>
      <c r="C107" s="63">
        <v>43.061684229058727</v>
      </c>
      <c r="D107" s="63">
        <v>54.797225093790402</v>
      </c>
      <c r="E107" s="63">
        <v>-16.506466584715117</v>
      </c>
      <c r="F107" s="63">
        <v>-12.1050285303808</v>
      </c>
    </row>
    <row r="108" spans="1:6" x14ac:dyDescent="0.2">
      <c r="A108" s="56"/>
      <c r="B108" s="67" t="s">
        <v>405</v>
      </c>
      <c r="C108" s="63">
        <v>42.400071216776936</v>
      </c>
      <c r="D108" s="63">
        <v>31.532341096652999</v>
      </c>
      <c r="E108" s="63">
        <v>-24.114131061749188</v>
      </c>
      <c r="F108" s="63">
        <v>-19.1075606887633</v>
      </c>
    </row>
    <row r="109" spans="1:6" x14ac:dyDescent="0.2">
      <c r="A109" s="56"/>
      <c r="B109" s="67" t="s">
        <v>406</v>
      </c>
      <c r="C109" s="63">
        <v>52.24363161162993</v>
      </c>
      <c r="D109" s="63">
        <v>54.961637675844599</v>
      </c>
      <c r="E109" s="63">
        <v>-27.665007686699546</v>
      </c>
      <c r="F109" s="63">
        <v>-15.022732478839799</v>
      </c>
    </row>
    <row r="110" spans="1:6" x14ac:dyDescent="0.2">
      <c r="A110" s="56"/>
      <c r="B110" s="67" t="s">
        <v>407</v>
      </c>
      <c r="C110" s="63">
        <v>32.925062628721285</v>
      </c>
      <c r="D110" s="63">
        <v>-7.4395056463307903</v>
      </c>
      <c r="E110" s="63">
        <v>-15.927515659875658</v>
      </c>
      <c r="F110" s="63">
        <v>-16.039413151277099</v>
      </c>
    </row>
    <row r="111" spans="1:6" x14ac:dyDescent="0.2">
      <c r="A111" s="56"/>
      <c r="B111" s="67" t="s">
        <v>408</v>
      </c>
      <c r="C111" s="63">
        <v>29.436788153447239</v>
      </c>
      <c r="D111" s="63">
        <v>11.278978753281599</v>
      </c>
      <c r="E111" s="63">
        <v>-20.586711826089445</v>
      </c>
      <c r="F111" s="63">
        <v>-18.852156297494599</v>
      </c>
    </row>
    <row r="112" spans="1:6" x14ac:dyDescent="0.2">
      <c r="A112" s="56"/>
      <c r="B112" s="67" t="s">
        <v>409</v>
      </c>
      <c r="C112" s="63">
        <v>11.591463620200098</v>
      </c>
      <c r="D112" s="63">
        <v>1.46524437045222</v>
      </c>
      <c r="E112" s="63">
        <v>-12.646556929454311</v>
      </c>
      <c r="F112" s="63">
        <v>17.733177274920799</v>
      </c>
    </row>
    <row r="113" spans="1:6" x14ac:dyDescent="0.2">
      <c r="A113" s="56"/>
      <c r="B113" s="67" t="s">
        <v>410</v>
      </c>
      <c r="C113" s="63">
        <v>18.559174262239289</v>
      </c>
      <c r="D113" s="63">
        <v>-2.8316356796051401</v>
      </c>
      <c r="E113" s="63">
        <v>-16.452528668056715</v>
      </c>
      <c r="F113" s="63">
        <v>-5.7860707590691698</v>
      </c>
    </row>
    <row r="114" spans="1:6" x14ac:dyDescent="0.2">
      <c r="A114" s="56"/>
      <c r="B114" s="67" t="s">
        <v>411</v>
      </c>
      <c r="C114" s="63">
        <v>19.583429060265871</v>
      </c>
      <c r="D114" s="63">
        <v>-5.9749654034437398</v>
      </c>
      <c r="E114" s="63">
        <v>-26.296197986559598</v>
      </c>
      <c r="F114" s="63">
        <v>-28.076090716702598</v>
      </c>
    </row>
    <row r="115" spans="1:6" x14ac:dyDescent="0.2">
      <c r="A115" s="56"/>
      <c r="B115" s="67" t="s">
        <v>412</v>
      </c>
      <c r="C115" s="63">
        <v>2.8339966833105521</v>
      </c>
      <c r="D115" s="63">
        <v>-12.359802073627099</v>
      </c>
      <c r="E115" s="63">
        <v>-20.75865404830736</v>
      </c>
      <c r="F115" s="63">
        <v>-22.5292125575786</v>
      </c>
    </row>
    <row r="116" spans="1:6" x14ac:dyDescent="0.2">
      <c r="A116" s="56"/>
      <c r="B116" s="67" t="s">
        <v>515</v>
      </c>
      <c r="C116" s="63">
        <v>12.826578973510877</v>
      </c>
      <c r="D116" s="63">
        <v>0.934859232503782</v>
      </c>
      <c r="E116" s="63">
        <v>-25.791493972744586</v>
      </c>
      <c r="F116" s="63">
        <v>-15.9691603668141</v>
      </c>
    </row>
    <row r="117" spans="1:6" x14ac:dyDescent="0.2">
      <c r="A117" s="56"/>
      <c r="B117" s="67" t="s">
        <v>414</v>
      </c>
      <c r="C117" s="63">
        <v>3.923267155985358</v>
      </c>
      <c r="D117" s="63">
        <v>2.9904585808178399</v>
      </c>
      <c r="E117" s="63">
        <v>-30.939260349190555</v>
      </c>
      <c r="F117" s="63">
        <v>-39.868571807329197</v>
      </c>
    </row>
    <row r="118" spans="1:6" x14ac:dyDescent="0.2">
      <c r="A118" s="56"/>
      <c r="B118" s="67" t="s">
        <v>415</v>
      </c>
      <c r="C118" s="63">
        <v>-1.646210016333121</v>
      </c>
      <c r="D118" s="63">
        <v>-31.7764090775784</v>
      </c>
      <c r="E118" s="63">
        <v>-31.281887614899155</v>
      </c>
      <c r="F118" s="63">
        <v>-5.8439629496499403</v>
      </c>
    </row>
    <row r="119" spans="1:6" x14ac:dyDescent="0.2">
      <c r="A119" s="56"/>
      <c r="B119" s="67" t="s">
        <v>516</v>
      </c>
      <c r="C119" s="63">
        <v>12.738953014989733</v>
      </c>
      <c r="D119" s="63">
        <v>-3.4246805492416801</v>
      </c>
      <c r="E119" s="63">
        <v>-23.985387300786186</v>
      </c>
      <c r="F119" s="63">
        <v>-8.4439074086175001</v>
      </c>
    </row>
    <row r="120" spans="1:6" x14ac:dyDescent="0.2">
      <c r="B120" s="53"/>
      <c r="C120" s="55"/>
      <c r="D120" s="55"/>
      <c r="E120" s="55"/>
      <c r="F120" s="55"/>
    </row>
    <row r="121" spans="1:6" x14ac:dyDescent="0.2">
      <c r="B121" s="53"/>
    </row>
    <row r="122" spans="1:6" x14ac:dyDescent="0.2">
      <c r="B122" s="53"/>
    </row>
    <row r="123" spans="1:6" x14ac:dyDescent="0.2">
      <c r="B123" s="53"/>
    </row>
    <row r="124" spans="1:6" x14ac:dyDescent="0.2">
      <c r="B124" s="53"/>
    </row>
    <row r="125" spans="1:6" x14ac:dyDescent="0.2">
      <c r="B125" s="53"/>
    </row>
    <row r="126" spans="1:6" x14ac:dyDescent="0.2">
      <c r="B126" s="53"/>
    </row>
    <row r="127" spans="1:6" x14ac:dyDescent="0.2">
      <c r="B127" s="53"/>
    </row>
    <row r="128" spans="1:6" x14ac:dyDescent="0.2">
      <c r="B128" s="53"/>
    </row>
    <row r="129" spans="1:6" x14ac:dyDescent="0.2">
      <c r="B129" s="53"/>
    </row>
    <row r="130" spans="1:6" x14ac:dyDescent="0.2">
      <c r="B130" s="53"/>
    </row>
    <row r="131" spans="1:6" x14ac:dyDescent="0.2">
      <c r="B131" s="53"/>
    </row>
    <row r="132" spans="1:6" x14ac:dyDescent="0.2">
      <c r="B132" s="62"/>
    </row>
    <row r="133" spans="1:6" x14ac:dyDescent="0.2">
      <c r="B133" s="62"/>
    </row>
    <row r="134" spans="1:6" x14ac:dyDescent="0.2">
      <c r="B134" s="62"/>
    </row>
    <row r="135" spans="1:6" x14ac:dyDescent="0.2">
      <c r="B135" s="62"/>
    </row>
    <row r="136" spans="1:6" x14ac:dyDescent="0.2">
      <c r="B136" s="62"/>
    </row>
    <row r="137" spans="1:6" x14ac:dyDescent="0.2">
      <c r="B137" s="62"/>
    </row>
    <row r="138" spans="1:6" x14ac:dyDescent="0.2">
      <c r="A138" s="61"/>
      <c r="B138" s="62"/>
      <c r="C138" s="61"/>
      <c r="D138" s="61"/>
      <c r="E138" s="61"/>
      <c r="F138" s="61"/>
    </row>
    <row r="139" spans="1:6" x14ac:dyDescent="0.2">
      <c r="A139" s="61"/>
      <c r="B139" s="62"/>
      <c r="C139" s="61"/>
      <c r="D139" s="61"/>
      <c r="E139" s="61"/>
      <c r="F139" s="61"/>
    </row>
    <row r="140" spans="1:6" x14ac:dyDescent="0.2">
      <c r="A140" s="61"/>
      <c r="B140" s="62"/>
      <c r="C140" s="61"/>
      <c r="D140" s="61"/>
      <c r="E140" s="61"/>
      <c r="F140" s="61"/>
    </row>
    <row r="141" spans="1:6" x14ac:dyDescent="0.2">
      <c r="A141" s="61"/>
      <c r="B141" s="62"/>
      <c r="C141" s="61"/>
      <c r="D141" s="61"/>
      <c r="E141" s="61"/>
      <c r="F141" s="61"/>
    </row>
    <row r="142" spans="1:6" x14ac:dyDescent="0.2">
      <c r="A142" s="61"/>
      <c r="B142" s="62"/>
      <c r="C142" s="61"/>
      <c r="D142" s="61"/>
      <c r="E142" s="61"/>
      <c r="F142" s="61"/>
    </row>
    <row r="143" spans="1:6" x14ac:dyDescent="0.2">
      <c r="B143" s="62"/>
    </row>
    <row r="144" spans="1:6" x14ac:dyDescent="0.2">
      <c r="B144" s="62"/>
    </row>
    <row r="145" spans="2:2" x14ac:dyDescent="0.2">
      <c r="B145" s="62"/>
    </row>
    <row r="146" spans="2:2" x14ac:dyDescent="0.2">
      <c r="B146" s="62"/>
    </row>
    <row r="147" spans="2:2" x14ac:dyDescent="0.2">
      <c r="B147" s="62"/>
    </row>
    <row r="148" spans="2:2" x14ac:dyDescent="0.2">
      <c r="B148" s="62"/>
    </row>
    <row r="149" spans="2:2" x14ac:dyDescent="0.2">
      <c r="B149" s="62"/>
    </row>
    <row r="150" spans="2:2" x14ac:dyDescent="0.2">
      <c r="B150" s="62"/>
    </row>
    <row r="151" spans="2:2" x14ac:dyDescent="0.2">
      <c r="B151" s="62"/>
    </row>
    <row r="152" spans="2:2" x14ac:dyDescent="0.2">
      <c r="B152" s="62"/>
    </row>
    <row r="153" spans="2:2" x14ac:dyDescent="0.2">
      <c r="B153" s="62"/>
    </row>
    <row r="154" spans="2:2" x14ac:dyDescent="0.2">
      <c r="B154" s="62"/>
    </row>
    <row r="155" spans="2:2" x14ac:dyDescent="0.2">
      <c r="B155" s="62"/>
    </row>
    <row r="156" spans="2:2" x14ac:dyDescent="0.2">
      <c r="B156" s="62"/>
    </row>
    <row r="157" spans="2:2" x14ac:dyDescent="0.2">
      <c r="B157" s="62"/>
    </row>
    <row r="158" spans="2:2" x14ac:dyDescent="0.2">
      <c r="B158" s="62"/>
    </row>
    <row r="159" spans="2:2" x14ac:dyDescent="0.2">
      <c r="B159" s="62"/>
    </row>
    <row r="160" spans="2:2" x14ac:dyDescent="0.2">
      <c r="B160" s="62"/>
    </row>
    <row r="161" spans="2:2" x14ac:dyDescent="0.2">
      <c r="B161" s="62"/>
    </row>
    <row r="162" spans="2:2" x14ac:dyDescent="0.2">
      <c r="B162" s="62"/>
    </row>
    <row r="163" spans="2:2" x14ac:dyDescent="0.2">
      <c r="B163" s="62"/>
    </row>
    <row r="164" spans="2:2" x14ac:dyDescent="0.2">
      <c r="B164" s="62"/>
    </row>
    <row r="165" spans="2:2" x14ac:dyDescent="0.2">
      <c r="B165" s="62"/>
    </row>
    <row r="166" spans="2:2" x14ac:dyDescent="0.2">
      <c r="B166" s="62"/>
    </row>
    <row r="167" spans="2:2" x14ac:dyDescent="0.2">
      <c r="B167" s="62"/>
    </row>
    <row r="168" spans="2:2" x14ac:dyDescent="0.2">
      <c r="B168" s="62"/>
    </row>
    <row r="169" spans="2:2" x14ac:dyDescent="0.2">
      <c r="B169" s="62"/>
    </row>
    <row r="170" spans="2:2" x14ac:dyDescent="0.2">
      <c r="B170" s="62"/>
    </row>
    <row r="171" spans="2:2" x14ac:dyDescent="0.2">
      <c r="B171" s="62"/>
    </row>
    <row r="172" spans="2:2" x14ac:dyDescent="0.2">
      <c r="B172" s="62"/>
    </row>
    <row r="173" spans="2:2" x14ac:dyDescent="0.2">
      <c r="B173" s="62"/>
    </row>
    <row r="174" spans="2:2" x14ac:dyDescent="0.2">
      <c r="B174" s="62"/>
    </row>
    <row r="175" spans="2:2" x14ac:dyDescent="0.2">
      <c r="B175" s="62"/>
    </row>
    <row r="176" spans="2:2" x14ac:dyDescent="0.2">
      <c r="B176" s="62"/>
    </row>
    <row r="177" spans="2:2" x14ac:dyDescent="0.2">
      <c r="B177" s="62"/>
    </row>
    <row r="178" spans="2:2" x14ac:dyDescent="0.2">
      <c r="B178" s="62"/>
    </row>
    <row r="179" spans="2:2" x14ac:dyDescent="0.2">
      <c r="B179" s="62"/>
    </row>
    <row r="180" spans="2:2" x14ac:dyDescent="0.2">
      <c r="B180" s="62"/>
    </row>
    <row r="181" spans="2:2" x14ac:dyDescent="0.2">
      <c r="B181" s="62"/>
    </row>
    <row r="182" spans="2:2" x14ac:dyDescent="0.2">
      <c r="B182" s="62"/>
    </row>
    <row r="183" spans="2:2" x14ac:dyDescent="0.2">
      <c r="B183" s="62"/>
    </row>
    <row r="184" spans="2:2" x14ac:dyDescent="0.2">
      <c r="B184" s="62"/>
    </row>
    <row r="185" spans="2:2" x14ac:dyDescent="0.2">
      <c r="B185" s="62"/>
    </row>
    <row r="186" spans="2:2" x14ac:dyDescent="0.2">
      <c r="B186" s="62"/>
    </row>
    <row r="187" spans="2:2" x14ac:dyDescent="0.2">
      <c r="B187" s="62"/>
    </row>
    <row r="188" spans="2:2" x14ac:dyDescent="0.2">
      <c r="B188" s="62"/>
    </row>
    <row r="189" spans="2:2" x14ac:dyDescent="0.2">
      <c r="B189" s="62"/>
    </row>
    <row r="190" spans="2:2" x14ac:dyDescent="0.2">
      <c r="B190" s="62"/>
    </row>
    <row r="191" spans="2:2" x14ac:dyDescent="0.2">
      <c r="B191" s="62"/>
    </row>
    <row r="192" spans="2:2" x14ac:dyDescent="0.2">
      <c r="B192" s="62"/>
    </row>
    <row r="193" spans="2:6" x14ac:dyDescent="0.2">
      <c r="B193" s="62"/>
    </row>
    <row r="194" spans="2:6" x14ac:dyDescent="0.2">
      <c r="B194" s="62"/>
    </row>
    <row r="195" spans="2:6" x14ac:dyDescent="0.2">
      <c r="B195" s="62"/>
    </row>
    <row r="196" spans="2:6" x14ac:dyDescent="0.2">
      <c r="B196" s="62"/>
    </row>
    <row r="197" spans="2:6" x14ac:dyDescent="0.2">
      <c r="B197" s="62"/>
    </row>
    <row r="198" spans="2:6" x14ac:dyDescent="0.2">
      <c r="B198" s="62"/>
    </row>
    <row r="199" spans="2:6" x14ac:dyDescent="0.2">
      <c r="B199" s="62"/>
    </row>
    <row r="200" spans="2:6" x14ac:dyDescent="0.2">
      <c r="B200" s="62"/>
    </row>
    <row r="201" spans="2:6" x14ac:dyDescent="0.2">
      <c r="B201" s="62"/>
    </row>
    <row r="202" spans="2:6" x14ac:dyDescent="0.2">
      <c r="B202" s="62"/>
      <c r="C202" s="62"/>
      <c r="D202" s="62"/>
      <c r="E202" s="62"/>
      <c r="F202" s="62"/>
    </row>
    <row r="203" spans="2:6" x14ac:dyDescent="0.2">
      <c r="B203" s="62"/>
      <c r="C203" s="62"/>
      <c r="D203" s="62"/>
      <c r="E203" s="62"/>
      <c r="F203" s="62"/>
    </row>
    <row r="204" spans="2:6" x14ac:dyDescent="0.2">
      <c r="B204" s="62"/>
      <c r="C204" s="62"/>
      <c r="D204" s="62"/>
      <c r="E204" s="62"/>
      <c r="F204" s="62"/>
    </row>
    <row r="205" spans="2:6" x14ac:dyDescent="0.2">
      <c r="B205" s="62"/>
      <c r="C205" s="62"/>
      <c r="D205" s="62"/>
      <c r="E205" s="62"/>
      <c r="F205" s="62"/>
    </row>
    <row r="206" spans="2:6" x14ac:dyDescent="0.2">
      <c r="B206" s="62"/>
      <c r="C206" s="62"/>
      <c r="D206" s="62"/>
      <c r="E206" s="62"/>
      <c r="F206" s="62"/>
    </row>
    <row r="207" spans="2:6" x14ac:dyDescent="0.2">
      <c r="B207" s="62"/>
      <c r="C207" s="62"/>
      <c r="D207" s="62"/>
      <c r="E207" s="62"/>
      <c r="F207" s="62"/>
    </row>
    <row r="208" spans="2:6" x14ac:dyDescent="0.2">
      <c r="B208" s="62"/>
      <c r="C208" s="62"/>
      <c r="D208" s="62"/>
      <c r="E208" s="62"/>
      <c r="F208" s="62"/>
    </row>
    <row r="209" spans="2:6" x14ac:dyDescent="0.2">
      <c r="B209" s="62"/>
      <c r="C209" s="62"/>
      <c r="D209" s="62"/>
      <c r="E209" s="62"/>
      <c r="F209" s="62"/>
    </row>
    <row r="210" spans="2:6" x14ac:dyDescent="0.2">
      <c r="B210" s="62"/>
      <c r="C210" s="62"/>
      <c r="D210" s="62"/>
      <c r="E210" s="62"/>
      <c r="F210" s="62"/>
    </row>
    <row r="211" spans="2:6" x14ac:dyDescent="0.2">
      <c r="B211" s="62"/>
      <c r="C211" s="62"/>
      <c r="D211" s="62"/>
      <c r="E211" s="62"/>
      <c r="F211" s="62"/>
    </row>
    <row r="212" spans="2:6" x14ac:dyDescent="0.2">
      <c r="B212" s="62"/>
      <c r="C212" s="62"/>
      <c r="D212" s="62"/>
      <c r="E212" s="62"/>
      <c r="F212" s="62"/>
    </row>
    <row r="213" spans="2:6" x14ac:dyDescent="0.2">
      <c r="B213" s="62"/>
      <c r="C213" s="62"/>
      <c r="D213" s="62"/>
      <c r="E213" s="62"/>
      <c r="F213" s="62"/>
    </row>
    <row r="214" spans="2:6" x14ac:dyDescent="0.2">
      <c r="B214" s="62"/>
      <c r="C214" s="62"/>
      <c r="D214" s="62"/>
      <c r="E214" s="62"/>
      <c r="F214" s="62"/>
    </row>
    <row r="215" spans="2:6" x14ac:dyDescent="0.2">
      <c r="B215" s="62"/>
      <c r="C215" s="62"/>
      <c r="D215" s="62"/>
      <c r="E215" s="62"/>
      <c r="F215" s="62"/>
    </row>
    <row r="216" spans="2:6" x14ac:dyDescent="0.2">
      <c r="B216" s="62"/>
      <c r="C216" s="62"/>
      <c r="D216" s="62"/>
      <c r="E216" s="62"/>
      <c r="F216" s="62"/>
    </row>
    <row r="217" spans="2:6" x14ac:dyDescent="0.2">
      <c r="B217" s="62"/>
      <c r="C217" s="62"/>
      <c r="D217" s="62"/>
      <c r="E217" s="62"/>
      <c r="F217" s="62"/>
    </row>
    <row r="218" spans="2:6" x14ac:dyDescent="0.2">
      <c r="B218" s="62"/>
      <c r="C218" s="62"/>
      <c r="D218" s="62"/>
      <c r="E218" s="62"/>
      <c r="F218" s="62"/>
    </row>
    <row r="219" spans="2:6" x14ac:dyDescent="0.2">
      <c r="B219" s="62"/>
      <c r="C219" s="62"/>
      <c r="D219" s="62"/>
      <c r="E219" s="62"/>
      <c r="F219" s="62"/>
    </row>
    <row r="220" spans="2:6" x14ac:dyDescent="0.2">
      <c r="B220" s="62"/>
      <c r="C220" s="62"/>
      <c r="D220" s="62"/>
      <c r="E220" s="62"/>
      <c r="F220" s="62"/>
    </row>
    <row r="221" spans="2:6" x14ac:dyDescent="0.2">
      <c r="B221" s="62"/>
      <c r="C221" s="62"/>
      <c r="D221" s="62"/>
      <c r="E221" s="62"/>
      <c r="F221" s="62"/>
    </row>
    <row r="222" spans="2:6" x14ac:dyDescent="0.2">
      <c r="B222" s="62"/>
      <c r="C222" s="62"/>
      <c r="D222" s="62"/>
      <c r="E222" s="62"/>
      <c r="F222" s="62"/>
    </row>
    <row r="223" spans="2:6" x14ac:dyDescent="0.2">
      <c r="B223" s="62"/>
      <c r="C223" s="62"/>
      <c r="D223" s="62"/>
      <c r="E223" s="62"/>
      <c r="F223" s="62"/>
    </row>
    <row r="224" spans="2:6" x14ac:dyDescent="0.2">
      <c r="B224" s="62"/>
      <c r="C224" s="62"/>
      <c r="D224" s="62"/>
      <c r="E224" s="62"/>
      <c r="F224" s="62"/>
    </row>
    <row r="225" spans="2:6" x14ac:dyDescent="0.2">
      <c r="B225" s="62"/>
      <c r="C225" s="62"/>
      <c r="D225" s="62"/>
      <c r="E225" s="62"/>
      <c r="F225" s="62"/>
    </row>
    <row r="226" spans="2:6" x14ac:dyDescent="0.2">
      <c r="B226" s="62"/>
      <c r="C226" s="62"/>
      <c r="D226" s="62"/>
      <c r="E226" s="62"/>
      <c r="F226" s="62"/>
    </row>
    <row r="227" spans="2:6" x14ac:dyDescent="0.2">
      <c r="B227" s="62"/>
      <c r="C227" s="62"/>
      <c r="D227" s="62"/>
      <c r="E227" s="62"/>
      <c r="F227" s="62"/>
    </row>
    <row r="228" spans="2:6" x14ac:dyDescent="0.2">
      <c r="B228" s="62"/>
      <c r="C228" s="62"/>
      <c r="D228" s="62"/>
      <c r="E228" s="62"/>
      <c r="F228" s="62"/>
    </row>
    <row r="229" spans="2:6" x14ac:dyDescent="0.2">
      <c r="B229" s="62"/>
      <c r="C229" s="62"/>
      <c r="D229" s="62"/>
      <c r="E229" s="62"/>
      <c r="F229" s="62"/>
    </row>
    <row r="230" spans="2:6" x14ac:dyDescent="0.2">
      <c r="B230" s="62"/>
      <c r="C230" s="62"/>
      <c r="D230" s="62"/>
      <c r="E230" s="62"/>
      <c r="F230" s="62"/>
    </row>
    <row r="231" spans="2:6" x14ac:dyDescent="0.2">
      <c r="B231" s="62"/>
      <c r="C231" s="62"/>
      <c r="D231" s="62"/>
      <c r="E231" s="62"/>
      <c r="F231" s="62"/>
    </row>
    <row r="232" spans="2:6" x14ac:dyDescent="0.2">
      <c r="B232" s="62"/>
      <c r="C232" s="62"/>
      <c r="D232" s="62"/>
      <c r="E232" s="62"/>
      <c r="F232" s="62"/>
    </row>
    <row r="233" spans="2:6" x14ac:dyDescent="0.2">
      <c r="B233" s="62"/>
    </row>
    <row r="234" spans="2:6" x14ac:dyDescent="0.2">
      <c r="B234" s="62"/>
    </row>
    <row r="235" spans="2:6" x14ac:dyDescent="0.2">
      <c r="B235" s="62"/>
    </row>
    <row r="236" spans="2:6" x14ac:dyDescent="0.2">
      <c r="B236" s="62"/>
    </row>
    <row r="237" spans="2:6" x14ac:dyDescent="0.2">
      <c r="B237" s="62"/>
    </row>
    <row r="238" spans="2:6" x14ac:dyDescent="0.2">
      <c r="B238" s="62"/>
    </row>
    <row r="239" spans="2:6" x14ac:dyDescent="0.2">
      <c r="B239" s="62"/>
    </row>
    <row r="240" spans="2:6" x14ac:dyDescent="0.2">
      <c r="B240" s="62"/>
    </row>
    <row r="241" spans="2:2" x14ac:dyDescent="0.2">
      <c r="B241" s="62"/>
    </row>
    <row r="242" spans="2:2" x14ac:dyDescent="0.2">
      <c r="B242" s="62"/>
    </row>
    <row r="243" spans="2:2" x14ac:dyDescent="0.2">
      <c r="B243" s="62"/>
    </row>
    <row r="244" spans="2:2" x14ac:dyDescent="0.2">
      <c r="B244" s="62"/>
    </row>
    <row r="245" spans="2:2" x14ac:dyDescent="0.2">
      <c r="B245" s="62"/>
    </row>
    <row r="246" spans="2:2" x14ac:dyDescent="0.2">
      <c r="B246" s="62"/>
    </row>
    <row r="247" spans="2:2" x14ac:dyDescent="0.2">
      <c r="B247" s="62"/>
    </row>
    <row r="248" spans="2:2" x14ac:dyDescent="0.2">
      <c r="B248" s="62"/>
    </row>
    <row r="249" spans="2:2" x14ac:dyDescent="0.2">
      <c r="B249" s="62"/>
    </row>
    <row r="250" spans="2:2" x14ac:dyDescent="0.2">
      <c r="B250" s="62"/>
    </row>
    <row r="251" spans="2:2" x14ac:dyDescent="0.2">
      <c r="B251" s="62"/>
    </row>
    <row r="252" spans="2:2" x14ac:dyDescent="0.2">
      <c r="B252" s="62"/>
    </row>
    <row r="253" spans="2:2" x14ac:dyDescent="0.2">
      <c r="B253" s="62"/>
    </row>
    <row r="254" spans="2:2" x14ac:dyDescent="0.2">
      <c r="B254" s="62"/>
    </row>
    <row r="255" spans="2:2" x14ac:dyDescent="0.2">
      <c r="B255" s="62"/>
    </row>
    <row r="256" spans="2:2" x14ac:dyDescent="0.2">
      <c r="B256" s="62"/>
    </row>
    <row r="257" spans="2:2" x14ac:dyDescent="0.2">
      <c r="B257" s="62"/>
    </row>
    <row r="258" spans="2:2" x14ac:dyDescent="0.2">
      <c r="B258" s="62"/>
    </row>
    <row r="259" spans="2:2" x14ac:dyDescent="0.2">
      <c r="B259" s="62"/>
    </row>
    <row r="260" spans="2:2" x14ac:dyDescent="0.2">
      <c r="B260" s="62"/>
    </row>
    <row r="261" spans="2:2" x14ac:dyDescent="0.2">
      <c r="B261" s="62"/>
    </row>
    <row r="262" spans="2:2" x14ac:dyDescent="0.2">
      <c r="B262" s="62"/>
    </row>
    <row r="263" spans="2:2" x14ac:dyDescent="0.2">
      <c r="B263" s="62"/>
    </row>
    <row r="264" spans="2:2" x14ac:dyDescent="0.2">
      <c r="B264" s="62"/>
    </row>
    <row r="265" spans="2:2" x14ac:dyDescent="0.2">
      <c r="B265" s="62"/>
    </row>
    <row r="266" spans="2:2" x14ac:dyDescent="0.2">
      <c r="B266" s="62"/>
    </row>
    <row r="267" spans="2:2" x14ac:dyDescent="0.2">
      <c r="B267" s="62"/>
    </row>
    <row r="268" spans="2:2" x14ac:dyDescent="0.2">
      <c r="B268" s="62"/>
    </row>
    <row r="269" spans="2:2" x14ac:dyDescent="0.2">
      <c r="B269" s="62"/>
    </row>
    <row r="270" spans="2:2" x14ac:dyDescent="0.2">
      <c r="B270" s="62"/>
    </row>
    <row r="271" spans="2:2" x14ac:dyDescent="0.2">
      <c r="B271" s="62"/>
    </row>
    <row r="272" spans="2:2" x14ac:dyDescent="0.2">
      <c r="B272" s="62"/>
    </row>
  </sheetData>
  <phoneticPr fontId="21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5FEB9-3250-4F83-9D5D-D95E828C544C}">
  <dimension ref="B2:F8"/>
  <sheetViews>
    <sheetView zoomScale="90" workbookViewId="0">
      <selection activeCell="E30" sqref="E30"/>
    </sheetView>
  </sheetViews>
  <sheetFormatPr baseColWidth="10" defaultColWidth="9.28515625" defaultRowHeight="16" x14ac:dyDescent="0.2"/>
  <cols>
    <col min="1" max="1" width="9.28515625" style="1"/>
    <col min="2" max="2" width="10.140625" style="1" bestFit="1" customWidth="1"/>
    <col min="3" max="3" width="9.28515625" style="1"/>
    <col min="4" max="4" width="12.7109375" style="1" customWidth="1"/>
    <col min="5" max="5" width="9.28515625" style="1"/>
    <col min="6" max="6" width="11.5703125" style="1" customWidth="1"/>
    <col min="7" max="16384" width="9.28515625" style="1"/>
  </cols>
  <sheetData>
    <row r="2" spans="2:6" x14ac:dyDescent="0.2">
      <c r="B2" s="1" t="s">
        <v>1</v>
      </c>
      <c r="C2" s="1" t="s">
        <v>517</v>
      </c>
    </row>
    <row r="3" spans="2:6" x14ac:dyDescent="0.2">
      <c r="B3" s="1" t="s">
        <v>85</v>
      </c>
      <c r="C3" s="7">
        <v>46082</v>
      </c>
    </row>
    <row r="4" spans="2:6" x14ac:dyDescent="0.2">
      <c r="B4" s="1" t="s">
        <v>87</v>
      </c>
      <c r="C4" s="2" t="s">
        <v>518</v>
      </c>
    </row>
    <row r="5" spans="2:6" x14ac:dyDescent="0.2">
      <c r="B5" s="1" t="s">
        <v>89</v>
      </c>
    </row>
    <row r="7" spans="2:6" x14ac:dyDescent="0.2">
      <c r="B7" s="6" t="s">
        <v>379</v>
      </c>
      <c r="C7" s="6" t="s">
        <v>519</v>
      </c>
      <c r="D7" s="6" t="s">
        <v>520</v>
      </c>
      <c r="E7" s="6" t="s">
        <v>521</v>
      </c>
      <c r="F7" s="6" t="s">
        <v>522</v>
      </c>
    </row>
    <row r="8" spans="2:6" x14ac:dyDescent="0.2">
      <c r="B8" s="3">
        <v>45901</v>
      </c>
      <c r="C8" s="1">
        <v>11940</v>
      </c>
      <c r="D8" s="4">
        <v>-1.2999999999999999E-2</v>
      </c>
      <c r="E8" s="5">
        <v>362835</v>
      </c>
      <c r="F8" s="4">
        <v>0.71699999999999997</v>
      </c>
    </row>
  </sheetData>
  <hyperlinks>
    <hyperlink ref="C4" r:id="rId1" xr:uid="{7B8243DF-FCF4-4673-A537-A5D15D4B8562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C2EEB-8714-4642-ADDA-1294B1020307}">
  <dimension ref="B2:N14"/>
  <sheetViews>
    <sheetView zoomScale="81" workbookViewId="0">
      <selection activeCell="H9" sqref="H9"/>
    </sheetView>
  </sheetViews>
  <sheetFormatPr baseColWidth="10" defaultColWidth="9.28515625" defaultRowHeight="16" x14ac:dyDescent="0.2"/>
  <cols>
    <col min="1" max="1" width="9.28515625" style="52"/>
    <col min="2" max="2" width="14.28515625" style="52" customWidth="1"/>
    <col min="3" max="5" width="9.28515625" style="52"/>
    <col min="6" max="6" width="28.85546875" style="52" bestFit="1" customWidth="1"/>
    <col min="7" max="7" width="11.28515625" style="52" bestFit="1" customWidth="1"/>
    <col min="8" max="8" width="6.28515625" style="52" customWidth="1"/>
    <col min="9" max="9" width="28.42578125" style="52" customWidth="1"/>
    <col min="10" max="10" width="11.5703125" style="52" bestFit="1" customWidth="1"/>
    <col min="11" max="11" width="17" style="52" customWidth="1"/>
    <col min="12" max="12" width="16.28515625" style="52" customWidth="1"/>
    <col min="13" max="16384" width="9.28515625" style="52"/>
  </cols>
  <sheetData>
    <row r="2" spans="2:14" x14ac:dyDescent="0.2">
      <c r="B2" s="52" t="s">
        <v>1</v>
      </c>
      <c r="C2" s="52" t="s">
        <v>523</v>
      </c>
    </row>
    <row r="3" spans="2:14" x14ac:dyDescent="0.2">
      <c r="B3" s="52" t="s">
        <v>85</v>
      </c>
      <c r="C3" s="53">
        <v>46113</v>
      </c>
      <c r="D3" s="53"/>
      <c r="E3" s="53"/>
    </row>
    <row r="4" spans="2:14" x14ac:dyDescent="0.2">
      <c r="B4" s="52" t="s">
        <v>87</v>
      </c>
      <c r="C4" s="54" t="s">
        <v>552</v>
      </c>
      <c r="D4" s="54"/>
      <c r="E4" s="54"/>
    </row>
    <row r="5" spans="2:14" x14ac:dyDescent="0.2">
      <c r="B5" s="52" t="s">
        <v>89</v>
      </c>
    </row>
    <row r="7" spans="2:14" ht="15.5" customHeight="1" x14ac:dyDescent="0.2">
      <c r="C7" s="106"/>
      <c r="D7" s="106"/>
      <c r="F7" s="198" t="s">
        <v>524</v>
      </c>
      <c r="G7" s="198"/>
      <c r="H7" s="199"/>
      <c r="I7" s="200" t="s">
        <v>525</v>
      </c>
      <c r="J7" s="201"/>
      <c r="K7" s="201"/>
      <c r="L7" s="202"/>
    </row>
    <row r="8" spans="2:14" ht="32" customHeight="1" x14ac:dyDescent="0.2">
      <c r="B8" s="104" t="s">
        <v>379</v>
      </c>
      <c r="C8" s="104" t="s">
        <v>526</v>
      </c>
      <c r="D8" s="104" t="s">
        <v>550</v>
      </c>
      <c r="E8" s="105" t="s">
        <v>551</v>
      </c>
      <c r="F8" s="76" t="s">
        <v>527</v>
      </c>
      <c r="G8" s="76" t="s">
        <v>528</v>
      </c>
      <c r="H8" s="76" t="s">
        <v>557</v>
      </c>
      <c r="I8" s="77" t="s">
        <v>529</v>
      </c>
      <c r="J8" s="77" t="s">
        <v>530</v>
      </c>
      <c r="K8" s="77" t="s">
        <v>531</v>
      </c>
      <c r="L8" s="77" t="s">
        <v>532</v>
      </c>
    </row>
    <row r="9" spans="2:14" ht="28.5" customHeight="1" x14ac:dyDescent="0.2">
      <c r="B9" s="75">
        <v>45444</v>
      </c>
      <c r="C9" s="78" t="s">
        <v>139</v>
      </c>
      <c r="D9" s="78">
        <v>540</v>
      </c>
      <c r="E9" s="78">
        <v>160</v>
      </c>
      <c r="F9" s="74">
        <v>1090</v>
      </c>
      <c r="G9" s="74">
        <v>870</v>
      </c>
      <c r="H9" s="74">
        <v>50</v>
      </c>
      <c r="I9" s="74">
        <v>30</v>
      </c>
      <c r="J9" s="74">
        <v>10</v>
      </c>
      <c r="K9" s="74">
        <v>10</v>
      </c>
      <c r="L9" s="74">
        <v>640</v>
      </c>
    </row>
    <row r="10" spans="2:14" ht="28.5" customHeight="1" x14ac:dyDescent="0.2">
      <c r="B10" s="75">
        <v>45536</v>
      </c>
      <c r="C10" s="78" t="s">
        <v>139</v>
      </c>
      <c r="D10" s="78">
        <v>460</v>
      </c>
      <c r="E10" s="78">
        <v>110</v>
      </c>
      <c r="F10" s="74">
        <v>1020</v>
      </c>
      <c r="G10" s="74">
        <v>930</v>
      </c>
      <c r="H10" s="74">
        <v>0</v>
      </c>
      <c r="I10" s="74">
        <v>50</v>
      </c>
      <c r="J10" s="74">
        <v>30</v>
      </c>
      <c r="K10" s="74">
        <v>10</v>
      </c>
      <c r="L10" s="74">
        <v>690</v>
      </c>
    </row>
    <row r="11" spans="2:14" ht="28.5" customHeight="1" x14ac:dyDescent="0.2">
      <c r="B11" s="75">
        <v>45627</v>
      </c>
      <c r="C11" s="78" t="s">
        <v>139</v>
      </c>
      <c r="D11" s="78">
        <v>490</v>
      </c>
      <c r="E11" s="78">
        <v>120</v>
      </c>
      <c r="F11" s="74">
        <v>1010</v>
      </c>
      <c r="G11" s="74">
        <v>860</v>
      </c>
      <c r="H11" s="74">
        <v>0</v>
      </c>
      <c r="I11" s="74">
        <v>40</v>
      </c>
      <c r="J11" s="74">
        <v>20</v>
      </c>
      <c r="K11" s="74">
        <v>0</v>
      </c>
      <c r="L11" s="74">
        <v>680</v>
      </c>
    </row>
    <row r="12" spans="2:14" ht="15.5" customHeight="1" x14ac:dyDescent="0.2">
      <c r="B12" s="75">
        <v>45717</v>
      </c>
      <c r="C12" s="78" t="s">
        <v>139</v>
      </c>
      <c r="D12" s="78">
        <v>430</v>
      </c>
      <c r="E12" s="78">
        <v>90</v>
      </c>
      <c r="F12" s="74">
        <v>930</v>
      </c>
      <c r="G12" s="74">
        <v>740</v>
      </c>
      <c r="H12" s="74">
        <v>0</v>
      </c>
      <c r="I12" s="74">
        <v>40</v>
      </c>
      <c r="J12" s="74">
        <v>10</v>
      </c>
      <c r="K12" s="74">
        <v>10</v>
      </c>
      <c r="L12" s="74">
        <v>620</v>
      </c>
    </row>
    <row r="13" spans="2:14" x14ac:dyDescent="0.2">
      <c r="B13" s="75">
        <v>45809</v>
      </c>
      <c r="C13" s="78" t="s">
        <v>139</v>
      </c>
      <c r="D13" s="78">
        <v>410</v>
      </c>
      <c r="E13" s="78">
        <v>70</v>
      </c>
      <c r="F13" s="73">
        <v>980</v>
      </c>
      <c r="G13" s="73">
        <v>720</v>
      </c>
      <c r="H13" s="73">
        <v>0</v>
      </c>
      <c r="I13" s="73">
        <v>30</v>
      </c>
      <c r="J13" s="73">
        <v>10</v>
      </c>
      <c r="K13" s="73">
        <v>10</v>
      </c>
      <c r="L13" s="72">
        <v>520</v>
      </c>
      <c r="M13" s="71"/>
      <c r="N13" s="70"/>
    </row>
    <row r="14" spans="2:14" x14ac:dyDescent="0.2">
      <c r="B14" s="75">
        <v>45901</v>
      </c>
      <c r="C14" s="78" t="s">
        <v>139</v>
      </c>
      <c r="D14" s="52">
        <v>460</v>
      </c>
      <c r="E14" s="52">
        <v>90</v>
      </c>
      <c r="F14" s="52">
        <v>830</v>
      </c>
      <c r="G14" s="52">
        <v>680</v>
      </c>
      <c r="H14" s="52">
        <v>30</v>
      </c>
      <c r="I14" s="52">
        <v>30</v>
      </c>
      <c r="J14" s="52">
        <v>20</v>
      </c>
      <c r="K14" s="52">
        <v>10</v>
      </c>
      <c r="L14" s="52">
        <v>570</v>
      </c>
    </row>
  </sheetData>
  <mergeCells count="2">
    <mergeCell ref="F7:H7"/>
    <mergeCell ref="I7:L7"/>
  </mergeCells>
  <hyperlinks>
    <hyperlink ref="C4" r:id="rId1" display="UK Finance" xr:uid="{8C7E7F90-012E-F948-9719-C9FE08886286}"/>
  </hyperlink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F5E08-0B79-9B47-841F-245E317DEEAB}">
  <dimension ref="B2:N14"/>
  <sheetViews>
    <sheetView zoomScale="75" workbookViewId="0">
      <selection activeCell="H9" sqref="H9"/>
    </sheetView>
  </sheetViews>
  <sheetFormatPr baseColWidth="10" defaultColWidth="9.28515625" defaultRowHeight="16" x14ac:dyDescent="0.2"/>
  <cols>
    <col min="1" max="1" width="9.28515625" style="52"/>
    <col min="2" max="2" width="14.28515625" style="52" customWidth="1"/>
    <col min="3" max="5" width="9.28515625" style="52"/>
    <col min="6" max="6" width="28.85546875" style="52" bestFit="1" customWidth="1"/>
    <col min="7" max="7" width="11.28515625" style="52" bestFit="1" customWidth="1"/>
    <col min="8" max="8" width="6.28515625" style="52" customWidth="1"/>
    <col min="9" max="9" width="28.42578125" style="52" customWidth="1"/>
    <col min="10" max="10" width="11.5703125" style="52" bestFit="1" customWidth="1"/>
    <col min="11" max="11" width="17" style="52" customWidth="1"/>
    <col min="12" max="12" width="16.28515625" style="52" customWidth="1"/>
    <col min="13" max="16384" width="9.28515625" style="52"/>
  </cols>
  <sheetData>
    <row r="2" spans="2:14" x14ac:dyDescent="0.2">
      <c r="B2" s="52" t="s">
        <v>1</v>
      </c>
      <c r="C2" s="52" t="s">
        <v>523</v>
      </c>
    </row>
    <row r="3" spans="2:14" x14ac:dyDescent="0.2">
      <c r="B3" s="52" t="s">
        <v>85</v>
      </c>
      <c r="C3" s="53">
        <v>46113</v>
      </c>
      <c r="D3" s="53"/>
      <c r="E3" s="53"/>
    </row>
    <row r="4" spans="2:14" x14ac:dyDescent="0.2">
      <c r="B4" s="52" t="s">
        <v>87</v>
      </c>
      <c r="C4" s="54" t="s">
        <v>556</v>
      </c>
      <c r="D4" s="54"/>
      <c r="E4" s="54"/>
    </row>
    <row r="5" spans="2:14" x14ac:dyDescent="0.2">
      <c r="B5" s="52" t="s">
        <v>89</v>
      </c>
    </row>
    <row r="7" spans="2:14" ht="15.5" customHeight="1" x14ac:dyDescent="0.2">
      <c r="C7" s="106"/>
      <c r="D7" s="106"/>
      <c r="F7" s="198" t="s">
        <v>524</v>
      </c>
      <c r="G7" s="198"/>
      <c r="H7" s="199"/>
      <c r="I7" s="200" t="s">
        <v>525</v>
      </c>
      <c r="J7" s="201"/>
      <c r="K7" s="201"/>
      <c r="L7" s="202"/>
    </row>
    <row r="8" spans="2:14" ht="32" customHeight="1" x14ac:dyDescent="0.2">
      <c r="B8" s="104" t="s">
        <v>379</v>
      </c>
      <c r="C8" s="104" t="s">
        <v>526</v>
      </c>
      <c r="D8" s="104" t="s">
        <v>550</v>
      </c>
      <c r="E8" s="105" t="s">
        <v>551</v>
      </c>
      <c r="F8" s="76" t="s">
        <v>527</v>
      </c>
      <c r="G8" s="76" t="s">
        <v>528</v>
      </c>
      <c r="H8" s="76" t="s">
        <v>557</v>
      </c>
      <c r="I8" s="77" t="s">
        <v>529</v>
      </c>
      <c r="J8" s="77" t="s">
        <v>530</v>
      </c>
      <c r="K8" s="77" t="s">
        <v>531</v>
      </c>
      <c r="L8" s="77" t="s">
        <v>532</v>
      </c>
    </row>
    <row r="9" spans="2:14" ht="17" customHeight="1" x14ac:dyDescent="0.2">
      <c r="B9" s="75">
        <v>45444</v>
      </c>
      <c r="C9" s="78" t="s">
        <v>139</v>
      </c>
      <c r="D9" s="78">
        <v>330</v>
      </c>
      <c r="E9" s="78">
        <v>60</v>
      </c>
      <c r="F9" s="74">
        <v>450</v>
      </c>
      <c r="G9" s="74">
        <v>340</v>
      </c>
      <c r="H9" s="74">
        <v>30</v>
      </c>
      <c r="I9" s="74">
        <v>20</v>
      </c>
      <c r="J9" s="74">
        <v>60</v>
      </c>
      <c r="K9" s="74">
        <v>40</v>
      </c>
      <c r="L9" s="74">
        <v>480</v>
      </c>
    </row>
    <row r="10" spans="2:14" ht="14" customHeight="1" x14ac:dyDescent="0.2">
      <c r="B10" s="75">
        <v>45536</v>
      </c>
      <c r="C10" s="78" t="s">
        <v>139</v>
      </c>
      <c r="D10" s="78">
        <v>360</v>
      </c>
      <c r="E10" s="78">
        <v>50</v>
      </c>
      <c r="F10" s="74">
        <v>460</v>
      </c>
      <c r="G10" s="74">
        <v>350</v>
      </c>
      <c r="H10" s="74">
        <v>0</v>
      </c>
      <c r="I10" s="74">
        <v>20</v>
      </c>
      <c r="J10" s="74">
        <v>60</v>
      </c>
      <c r="K10" s="74">
        <v>50</v>
      </c>
      <c r="L10" s="74">
        <v>510</v>
      </c>
    </row>
    <row r="11" spans="2:14" ht="15" customHeight="1" x14ac:dyDescent="0.2">
      <c r="B11" s="75">
        <v>45627</v>
      </c>
      <c r="C11" s="78" t="s">
        <v>139</v>
      </c>
      <c r="D11" s="78">
        <v>290</v>
      </c>
      <c r="E11" s="78">
        <v>60</v>
      </c>
      <c r="F11" s="74">
        <v>450</v>
      </c>
      <c r="G11" s="74">
        <v>320</v>
      </c>
      <c r="H11" s="74">
        <v>0</v>
      </c>
      <c r="I11" s="74">
        <v>20</v>
      </c>
      <c r="J11" s="74">
        <v>70</v>
      </c>
      <c r="K11" s="74">
        <v>40</v>
      </c>
      <c r="L11" s="74">
        <v>520</v>
      </c>
    </row>
    <row r="12" spans="2:14" ht="15.5" customHeight="1" x14ac:dyDescent="0.2">
      <c r="B12" s="75">
        <v>45717</v>
      </c>
      <c r="C12" s="78" t="s">
        <v>139</v>
      </c>
      <c r="D12" s="78">
        <v>290</v>
      </c>
      <c r="E12" s="78">
        <v>60</v>
      </c>
      <c r="F12" s="74">
        <v>430</v>
      </c>
      <c r="G12" s="74">
        <v>310</v>
      </c>
      <c r="H12" s="74">
        <v>0</v>
      </c>
      <c r="I12" s="74">
        <v>20</v>
      </c>
      <c r="J12" s="74">
        <v>50</v>
      </c>
      <c r="K12" s="74">
        <v>40</v>
      </c>
      <c r="L12" s="74">
        <v>540</v>
      </c>
    </row>
    <row r="13" spans="2:14" x14ac:dyDescent="0.2">
      <c r="B13" s="75">
        <v>45809</v>
      </c>
      <c r="C13" s="78" t="s">
        <v>139</v>
      </c>
      <c r="D13" s="78">
        <v>280</v>
      </c>
      <c r="E13" s="78">
        <v>50</v>
      </c>
      <c r="F13" s="73">
        <v>470</v>
      </c>
      <c r="G13" s="73">
        <v>300</v>
      </c>
      <c r="H13" s="73">
        <v>0</v>
      </c>
      <c r="I13" s="73">
        <v>20</v>
      </c>
      <c r="J13" s="73">
        <v>60</v>
      </c>
      <c r="K13" s="73">
        <v>40</v>
      </c>
      <c r="L13" s="72">
        <v>500</v>
      </c>
      <c r="M13" s="71"/>
      <c r="N13" s="70"/>
    </row>
    <row r="14" spans="2:14" x14ac:dyDescent="0.2">
      <c r="B14" s="75">
        <v>45901</v>
      </c>
      <c r="C14" s="78" t="s">
        <v>139</v>
      </c>
      <c r="D14" s="52">
        <v>270</v>
      </c>
      <c r="E14" s="52">
        <v>50</v>
      </c>
      <c r="F14" s="52">
        <v>430</v>
      </c>
      <c r="G14" s="52">
        <v>290</v>
      </c>
      <c r="H14" s="52">
        <v>30</v>
      </c>
      <c r="I14" s="52">
        <v>10</v>
      </c>
      <c r="J14" s="52">
        <v>50</v>
      </c>
      <c r="K14" s="52">
        <v>50</v>
      </c>
      <c r="L14" s="52">
        <v>470</v>
      </c>
    </row>
  </sheetData>
  <mergeCells count="2">
    <mergeCell ref="F7:H7"/>
    <mergeCell ref="I7:L7"/>
  </mergeCells>
  <hyperlinks>
    <hyperlink ref="C4" r:id="rId1" display="UK Finance" xr:uid="{321E81CC-98E2-3E4D-8A01-B4DCB4FC55A1}"/>
  </hyperlinks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3384A-08C9-4631-83EB-89132DCBDF09}">
  <dimension ref="B2:E14"/>
  <sheetViews>
    <sheetView zoomScaleNormal="100" workbookViewId="0">
      <selection activeCell="D10" sqref="D10"/>
    </sheetView>
  </sheetViews>
  <sheetFormatPr baseColWidth="10" defaultColWidth="9.28515625" defaultRowHeight="16" x14ac:dyDescent="0.2"/>
  <cols>
    <col min="1" max="1" width="9.28515625" style="52"/>
    <col min="2" max="2" width="14.28515625" style="52" customWidth="1"/>
    <col min="3" max="3" width="9.28515625" style="52"/>
    <col min="4" max="4" width="25.85546875" style="52" customWidth="1"/>
    <col min="5" max="5" width="9.28515625" style="52"/>
    <col min="6" max="6" width="28.85546875" style="52" bestFit="1" customWidth="1"/>
    <col min="7" max="7" width="11.28515625" style="52" bestFit="1" customWidth="1"/>
    <col min="8" max="8" width="6.28515625" style="52" customWidth="1"/>
    <col min="9" max="9" width="28.42578125" style="52" customWidth="1"/>
    <col min="10" max="10" width="11.5703125" style="52" bestFit="1" customWidth="1"/>
    <col min="11" max="11" width="17" style="52" customWidth="1"/>
    <col min="12" max="12" width="16.28515625" style="52" customWidth="1"/>
    <col min="13" max="16384" width="9.28515625" style="52"/>
  </cols>
  <sheetData>
    <row r="2" spans="2:5" x14ac:dyDescent="0.2">
      <c r="B2" s="52" t="s">
        <v>1</v>
      </c>
      <c r="C2" s="52" t="s">
        <v>554</v>
      </c>
    </row>
    <row r="3" spans="2:5" x14ac:dyDescent="0.2">
      <c r="B3" s="52" t="s">
        <v>85</v>
      </c>
      <c r="C3" s="53">
        <v>46113</v>
      </c>
      <c r="D3" s="53"/>
      <c r="E3" s="53"/>
    </row>
    <row r="4" spans="2:5" x14ac:dyDescent="0.2">
      <c r="B4" s="52" t="s">
        <v>87</v>
      </c>
      <c r="C4" s="54" t="s">
        <v>553</v>
      </c>
      <c r="D4" s="54"/>
      <c r="E4" s="54"/>
    </row>
    <row r="5" spans="2:5" x14ac:dyDescent="0.2">
      <c r="B5" s="52" t="s">
        <v>89</v>
      </c>
    </row>
    <row r="7" spans="2:5" ht="15.5" customHeight="1" x14ac:dyDescent="0.2">
      <c r="C7" s="106"/>
      <c r="D7" s="106"/>
    </row>
    <row r="8" spans="2:5" ht="32" customHeight="1" x14ac:dyDescent="0.2">
      <c r="B8" s="104" t="s">
        <v>379</v>
      </c>
      <c r="C8" s="104" t="s">
        <v>526</v>
      </c>
      <c r="D8" s="104" t="s">
        <v>555</v>
      </c>
      <c r="E8" s="163"/>
    </row>
    <row r="9" spans="2:5" ht="28.5" customHeight="1" x14ac:dyDescent="0.2">
      <c r="B9" s="162">
        <v>45444</v>
      </c>
      <c r="C9" s="155" t="s">
        <v>139</v>
      </c>
      <c r="D9" s="155">
        <v>1100</v>
      </c>
    </row>
    <row r="10" spans="2:5" ht="28.5" customHeight="1" x14ac:dyDescent="0.2">
      <c r="B10" s="162">
        <v>45536</v>
      </c>
      <c r="C10" s="155" t="s">
        <v>139</v>
      </c>
      <c r="D10" s="155">
        <v>1150</v>
      </c>
    </row>
    <row r="11" spans="2:5" ht="28.5" customHeight="1" x14ac:dyDescent="0.2">
      <c r="B11" s="162">
        <v>45627</v>
      </c>
      <c r="C11" s="155" t="s">
        <v>139</v>
      </c>
      <c r="D11" s="155">
        <v>1240</v>
      </c>
    </row>
    <row r="12" spans="2:5" ht="15.5" customHeight="1" x14ac:dyDescent="0.2">
      <c r="B12" s="162">
        <v>45717</v>
      </c>
      <c r="C12" s="155" t="s">
        <v>139</v>
      </c>
      <c r="D12" s="155">
        <v>1070</v>
      </c>
    </row>
    <row r="13" spans="2:5" x14ac:dyDescent="0.2">
      <c r="B13" s="162">
        <v>45809</v>
      </c>
      <c r="C13" s="155" t="s">
        <v>139</v>
      </c>
      <c r="D13" s="155">
        <v>1060</v>
      </c>
    </row>
    <row r="14" spans="2:5" x14ac:dyDescent="0.2">
      <c r="B14" s="162">
        <v>45901</v>
      </c>
      <c r="C14" s="155" t="s">
        <v>139</v>
      </c>
      <c r="D14" s="96">
        <v>1030</v>
      </c>
    </row>
  </sheetData>
  <hyperlinks>
    <hyperlink ref="C4" r:id="rId1" display="UK Finance" xr:uid="{B6D5A3D8-9FEB-4033-8BEE-24EBFD56AC6E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A1C7-4E2B-47BB-88BD-356C2F3ED785}">
  <dimension ref="B1:G265"/>
  <sheetViews>
    <sheetView topLeftCell="A229" zoomScale="87" zoomScaleNormal="100" workbookViewId="0">
      <selection activeCell="B261" sqref="B261"/>
    </sheetView>
  </sheetViews>
  <sheetFormatPr baseColWidth="10" defaultColWidth="8.7109375" defaultRowHeight="16" x14ac:dyDescent="0.2"/>
  <cols>
    <col min="2" max="2" width="11" customWidth="1"/>
    <col min="3" max="7" width="8.85546875" bestFit="1" customWidth="1"/>
  </cols>
  <sheetData>
    <row r="1" spans="2:7" s="1" customFormat="1" x14ac:dyDescent="0.2"/>
    <row r="2" spans="2:7" s="1" customFormat="1" x14ac:dyDescent="0.2">
      <c r="B2" s="1" t="s">
        <v>1</v>
      </c>
      <c r="C2" s="1" t="s">
        <v>533</v>
      </c>
    </row>
    <row r="3" spans="2:7" s="1" customFormat="1" x14ac:dyDescent="0.2">
      <c r="B3" s="1" t="s">
        <v>85</v>
      </c>
      <c r="C3" s="7" t="s">
        <v>134</v>
      </c>
    </row>
    <row r="4" spans="2:7" s="1" customFormat="1" x14ac:dyDescent="0.2">
      <c r="B4" s="1" t="s">
        <v>87</v>
      </c>
      <c r="C4" s="1" t="s">
        <v>534</v>
      </c>
    </row>
    <row r="5" spans="2:7" s="1" customFormat="1" x14ac:dyDescent="0.2">
      <c r="B5" s="1" t="s">
        <v>89</v>
      </c>
    </row>
    <row r="7" spans="2:7" x14ac:dyDescent="0.2">
      <c r="B7" s="39"/>
      <c r="C7" s="40"/>
      <c r="D7" s="203" t="s">
        <v>535</v>
      </c>
      <c r="E7" s="204"/>
      <c r="F7" s="204"/>
      <c r="G7" s="205"/>
    </row>
    <row r="8" spans="2:7" x14ac:dyDescent="0.2">
      <c r="B8" s="41" t="s">
        <v>379</v>
      </c>
      <c r="C8" s="42" t="s">
        <v>536</v>
      </c>
      <c r="D8" s="41" t="s">
        <v>537</v>
      </c>
      <c r="E8" s="43" t="s">
        <v>538</v>
      </c>
      <c r="F8" s="43" t="s">
        <v>539</v>
      </c>
      <c r="G8" s="42" t="s">
        <v>540</v>
      </c>
    </row>
    <row r="9" spans="2:7" x14ac:dyDescent="0.2">
      <c r="B9" s="32">
        <v>43158</v>
      </c>
      <c r="C9" s="33">
        <f>WEEKDAY(B9,2)</f>
        <v>2</v>
      </c>
      <c r="D9" s="34"/>
      <c r="E9" s="1"/>
      <c r="F9" s="1"/>
      <c r="G9" s="33"/>
    </row>
    <row r="10" spans="2:7" x14ac:dyDescent="0.2">
      <c r="B10" s="32">
        <v>43202</v>
      </c>
      <c r="C10" s="33">
        <f>WEEKDAY(B10,2)</f>
        <v>4</v>
      </c>
      <c r="D10" s="34"/>
      <c r="E10" s="1"/>
      <c r="F10" s="1"/>
      <c r="G10" s="33"/>
    </row>
    <row r="11" spans="2:7" x14ac:dyDescent="0.2">
      <c r="B11" s="32">
        <v>43452</v>
      </c>
      <c r="C11" s="33">
        <f>WEEKDAY(B11,2)</f>
        <v>2</v>
      </c>
      <c r="D11" s="34"/>
      <c r="E11" s="1"/>
      <c r="F11" s="1"/>
      <c r="G11" s="33"/>
    </row>
    <row r="12" spans="2:7" x14ac:dyDescent="0.2">
      <c r="B12" s="32">
        <v>43161</v>
      </c>
      <c r="C12" s="33">
        <f>WEEKDAY(B12,2)</f>
        <v>5</v>
      </c>
      <c r="D12" s="34"/>
      <c r="E12" s="1"/>
      <c r="F12" s="1"/>
      <c r="G12" s="33">
        <v>50121</v>
      </c>
    </row>
    <row r="13" spans="2:7" x14ac:dyDescent="0.2">
      <c r="B13" s="32">
        <v>43914.565972222219</v>
      </c>
      <c r="C13" s="33">
        <f>WEEKDAY(B13,2)</f>
        <v>2</v>
      </c>
      <c r="D13" s="34">
        <v>1682</v>
      </c>
      <c r="E13" s="1">
        <v>9500</v>
      </c>
      <c r="F13" s="1">
        <v>15523</v>
      </c>
      <c r="G13" s="33">
        <v>37217</v>
      </c>
    </row>
    <row r="14" spans="2:7" x14ac:dyDescent="0.2">
      <c r="B14" s="32">
        <v>43915.618055555555</v>
      </c>
      <c r="C14" s="33">
        <f t="shared" ref="C14:C77" si="0">WEEKDAY(B14,2)</f>
        <v>3</v>
      </c>
      <c r="D14" s="34">
        <v>1000</v>
      </c>
      <c r="E14" s="1"/>
      <c r="F14" s="1"/>
      <c r="G14" s="33"/>
    </row>
    <row r="15" spans="2:7" x14ac:dyDescent="0.2">
      <c r="B15" s="32">
        <v>43916.666666666664</v>
      </c>
      <c r="C15" s="33">
        <f t="shared" si="0"/>
        <v>4</v>
      </c>
      <c r="D15" s="34">
        <v>1198</v>
      </c>
      <c r="E15" s="1"/>
      <c r="F15" s="1"/>
      <c r="G15" s="33"/>
    </row>
    <row r="16" spans="2:7" x14ac:dyDescent="0.2">
      <c r="B16" s="32">
        <v>43917.708333333336</v>
      </c>
      <c r="C16" s="33">
        <f t="shared" si="0"/>
        <v>5</v>
      </c>
      <c r="D16" s="34">
        <v>1000</v>
      </c>
      <c r="E16" s="1"/>
      <c r="F16" s="1"/>
      <c r="G16" s="33"/>
    </row>
    <row r="17" spans="2:7" x14ac:dyDescent="0.2">
      <c r="B17" s="32">
        <v>43918.75</v>
      </c>
      <c r="C17" s="33">
        <f t="shared" si="0"/>
        <v>6</v>
      </c>
      <c r="D17" s="34">
        <v>484</v>
      </c>
      <c r="E17" s="1"/>
      <c r="F17" s="1"/>
      <c r="G17" s="33"/>
    </row>
    <row r="18" spans="2:7" x14ac:dyDescent="0.2">
      <c r="B18" s="32">
        <v>43919.8125</v>
      </c>
      <c r="C18" s="33">
        <f t="shared" si="0"/>
        <v>7</v>
      </c>
      <c r="D18" s="34">
        <v>145</v>
      </c>
      <c r="E18" s="1"/>
      <c r="F18" s="1"/>
      <c r="G18" s="33"/>
    </row>
    <row r="19" spans="2:7" x14ac:dyDescent="0.2">
      <c r="B19" s="32">
        <v>43920.78125</v>
      </c>
      <c r="C19" s="33">
        <f t="shared" si="0"/>
        <v>1</v>
      </c>
      <c r="D19" s="34">
        <v>1172</v>
      </c>
      <c r="E19" s="1"/>
      <c r="F19" s="1"/>
      <c r="G19" s="33">
        <v>38673</v>
      </c>
    </row>
    <row r="20" spans="2:7" x14ac:dyDescent="0.2">
      <c r="B20" s="32">
        <v>43921.833333333336</v>
      </c>
      <c r="C20" s="33">
        <f t="shared" si="0"/>
        <v>2</v>
      </c>
      <c r="D20" s="34">
        <v>1372</v>
      </c>
      <c r="E20" s="1"/>
      <c r="F20" s="1"/>
      <c r="G20" s="33"/>
    </row>
    <row r="21" spans="2:7" x14ac:dyDescent="0.2">
      <c r="B21" s="32">
        <v>43922.993055555555</v>
      </c>
      <c r="C21" s="33">
        <f t="shared" si="0"/>
        <v>3</v>
      </c>
      <c r="D21" s="34">
        <v>1254</v>
      </c>
      <c r="E21" s="1"/>
      <c r="F21" s="1"/>
      <c r="G21" s="33"/>
    </row>
    <row r="22" spans="2:7" x14ac:dyDescent="0.2">
      <c r="B22" s="32">
        <v>43923.657638888886</v>
      </c>
      <c r="C22" s="33">
        <f t="shared" si="0"/>
        <v>4</v>
      </c>
      <c r="D22" s="34">
        <v>1183</v>
      </c>
      <c r="E22" s="1"/>
      <c r="F22" s="1"/>
      <c r="G22" s="33">
        <v>39174</v>
      </c>
    </row>
    <row r="23" spans="2:7" x14ac:dyDescent="0.2">
      <c r="B23" s="32">
        <v>43924.350694444445</v>
      </c>
      <c r="C23" s="33">
        <f t="shared" si="0"/>
        <v>5</v>
      </c>
      <c r="D23" s="34">
        <v>1199</v>
      </c>
      <c r="E23" s="1"/>
      <c r="F23" s="1"/>
      <c r="G23" s="33">
        <v>39338</v>
      </c>
    </row>
    <row r="24" spans="2:7" x14ac:dyDescent="0.2">
      <c r="B24" s="32">
        <v>43925.375</v>
      </c>
      <c r="C24" s="33">
        <f t="shared" si="0"/>
        <v>6</v>
      </c>
      <c r="D24" s="34">
        <v>1166</v>
      </c>
      <c r="E24" s="1"/>
      <c r="F24" s="1"/>
      <c r="G24" s="33">
        <v>39789</v>
      </c>
    </row>
    <row r="25" spans="2:7" x14ac:dyDescent="0.2">
      <c r="B25" s="32">
        <v>43926.576388888891</v>
      </c>
      <c r="C25" s="33">
        <f t="shared" si="0"/>
        <v>7</v>
      </c>
      <c r="D25" s="34">
        <v>194</v>
      </c>
      <c r="E25" s="1"/>
      <c r="F25" s="1"/>
      <c r="G25" s="33">
        <v>39869</v>
      </c>
    </row>
    <row r="26" spans="2:7" x14ac:dyDescent="0.2">
      <c r="B26" s="32">
        <v>43927.569444444445</v>
      </c>
      <c r="C26" s="33">
        <f t="shared" si="0"/>
        <v>1</v>
      </c>
      <c r="D26" s="34">
        <v>594</v>
      </c>
      <c r="E26" s="1">
        <v>6254</v>
      </c>
      <c r="F26" s="1">
        <v>11142</v>
      </c>
      <c r="G26" s="33">
        <v>39901</v>
      </c>
    </row>
    <row r="27" spans="2:7" x14ac:dyDescent="0.2">
      <c r="B27" s="32">
        <v>43928.538194444445</v>
      </c>
      <c r="C27" s="33">
        <f t="shared" si="0"/>
        <v>2</v>
      </c>
      <c r="D27" s="34">
        <v>1297</v>
      </c>
      <c r="E27" s="1">
        <v>6269</v>
      </c>
      <c r="F27" s="1">
        <v>10888</v>
      </c>
      <c r="G27" s="33">
        <v>40180</v>
      </c>
    </row>
    <row r="28" spans="2:7" x14ac:dyDescent="0.2">
      <c r="B28" s="3">
        <v>43929.638888888891</v>
      </c>
      <c r="C28" s="33">
        <f>WEEKDAY(B28,2)</f>
        <v>3</v>
      </c>
      <c r="D28" s="34">
        <v>1384</v>
      </c>
      <c r="E28" s="1">
        <v>6343</v>
      </c>
      <c r="F28" s="1">
        <v>11163</v>
      </c>
      <c r="G28" s="33">
        <v>40795</v>
      </c>
    </row>
    <row r="29" spans="2:7" x14ac:dyDescent="0.2">
      <c r="B29" s="3">
        <v>43930.503472222219</v>
      </c>
      <c r="C29" s="33">
        <f t="shared" si="0"/>
        <v>4</v>
      </c>
      <c r="D29" s="34">
        <v>1348</v>
      </c>
      <c r="E29" s="1">
        <v>6405</v>
      </c>
      <c r="F29" s="1">
        <v>11320</v>
      </c>
      <c r="G29" s="33">
        <v>41007</v>
      </c>
    </row>
    <row r="30" spans="2:7" x14ac:dyDescent="0.2">
      <c r="B30" s="3">
        <v>43934.791666666664</v>
      </c>
      <c r="C30" s="33">
        <f t="shared" si="0"/>
        <v>1</v>
      </c>
      <c r="D30" s="34">
        <v>410</v>
      </c>
      <c r="E30" s="1">
        <v>4484</v>
      </c>
      <c r="F30" s="1">
        <v>9972</v>
      </c>
      <c r="G30" s="33">
        <v>41268</v>
      </c>
    </row>
    <row r="31" spans="2:7" x14ac:dyDescent="0.2">
      <c r="B31" s="3">
        <v>43935.506944444445</v>
      </c>
      <c r="C31" s="33">
        <f t="shared" si="0"/>
        <v>2</v>
      </c>
      <c r="D31" s="34">
        <v>593</v>
      </c>
      <c r="E31" s="1">
        <v>4500</v>
      </c>
      <c r="F31" s="1">
        <v>9950</v>
      </c>
      <c r="G31" s="33">
        <v>41309</v>
      </c>
    </row>
    <row r="32" spans="2:7" x14ac:dyDescent="0.2">
      <c r="B32" s="3">
        <v>43936.507638888892</v>
      </c>
      <c r="C32" s="33">
        <f t="shared" si="0"/>
        <v>3</v>
      </c>
      <c r="D32" s="34">
        <v>1412</v>
      </c>
      <c r="E32" s="1">
        <v>4682</v>
      </c>
      <c r="F32" s="1">
        <v>9981</v>
      </c>
      <c r="G32" s="33">
        <v>41641</v>
      </c>
    </row>
    <row r="33" spans="2:7" x14ac:dyDescent="0.2">
      <c r="B33" s="3">
        <v>43937.50277777778</v>
      </c>
      <c r="C33" s="33">
        <f t="shared" si="0"/>
        <v>4</v>
      </c>
      <c r="D33" s="34">
        <v>1278</v>
      </c>
      <c r="E33" s="1">
        <v>4664</v>
      </c>
      <c r="F33" s="1">
        <v>10052</v>
      </c>
      <c r="G33" s="33">
        <v>41978</v>
      </c>
    </row>
    <row r="34" spans="2:7" x14ac:dyDescent="0.2">
      <c r="B34" s="3">
        <v>43938.503472222219</v>
      </c>
      <c r="C34" s="33">
        <f t="shared" si="0"/>
        <v>5</v>
      </c>
      <c r="D34" s="34">
        <v>1332</v>
      </c>
      <c r="E34" s="1">
        <v>4901</v>
      </c>
      <c r="F34" s="1">
        <v>10093</v>
      </c>
      <c r="G34" s="33">
        <v>42318</v>
      </c>
    </row>
    <row r="35" spans="2:7" x14ac:dyDescent="0.2">
      <c r="B35" s="3">
        <v>43940.36041666667</v>
      </c>
      <c r="C35" s="33">
        <f t="shared" si="0"/>
        <v>7</v>
      </c>
      <c r="D35" s="34">
        <v>319</v>
      </c>
      <c r="E35" s="1">
        <v>5592</v>
      </c>
      <c r="F35" s="1">
        <v>10183</v>
      </c>
      <c r="G35" s="33">
        <v>42658</v>
      </c>
    </row>
    <row r="36" spans="2:7" x14ac:dyDescent="0.2">
      <c r="B36" s="3">
        <v>43940.504861111112</v>
      </c>
      <c r="C36" s="33">
        <f t="shared" si="0"/>
        <v>7</v>
      </c>
      <c r="D36" s="34">
        <v>251</v>
      </c>
      <c r="E36" s="1">
        <v>5565</v>
      </c>
      <c r="F36" s="1">
        <v>10170</v>
      </c>
      <c r="G36" s="33">
        <v>42621</v>
      </c>
    </row>
    <row r="37" spans="2:7" x14ac:dyDescent="0.2">
      <c r="B37" s="3">
        <v>43941.500694444447</v>
      </c>
      <c r="C37" s="33">
        <f t="shared" si="0"/>
        <v>1</v>
      </c>
      <c r="D37" s="34">
        <v>464</v>
      </c>
      <c r="E37" s="1">
        <v>5838</v>
      </c>
      <c r="F37" s="1">
        <v>10139</v>
      </c>
      <c r="G37" s="33">
        <v>42246</v>
      </c>
    </row>
    <row r="38" spans="2:7" x14ac:dyDescent="0.2">
      <c r="B38" s="3">
        <v>43942.501388888886</v>
      </c>
      <c r="C38" s="33">
        <f t="shared" si="0"/>
        <v>2</v>
      </c>
      <c r="D38" s="34">
        <v>1340</v>
      </c>
      <c r="E38" s="1">
        <v>6602</v>
      </c>
      <c r="F38" s="1">
        <v>10149</v>
      </c>
      <c r="G38" s="33">
        <v>42628</v>
      </c>
    </row>
    <row r="39" spans="2:7" x14ac:dyDescent="0.2">
      <c r="B39" s="3">
        <v>43943.503472222219</v>
      </c>
      <c r="C39" s="33">
        <f t="shared" si="0"/>
        <v>3</v>
      </c>
      <c r="D39" s="34">
        <v>1270</v>
      </c>
      <c r="E39" s="1">
        <v>6541</v>
      </c>
      <c r="F39" s="1">
        <v>10310</v>
      </c>
      <c r="G39" s="33">
        <v>43037</v>
      </c>
    </row>
    <row r="40" spans="2:7" x14ac:dyDescent="0.2">
      <c r="B40" s="3">
        <v>43944.50277777778</v>
      </c>
      <c r="C40" s="33">
        <f t="shared" si="0"/>
        <v>4</v>
      </c>
      <c r="D40" s="34">
        <v>1562</v>
      </c>
      <c r="E40" s="1">
        <v>6828</v>
      </c>
      <c r="F40" s="1">
        <v>10589</v>
      </c>
      <c r="G40" s="33">
        <v>43598</v>
      </c>
    </row>
    <row r="41" spans="2:7" x14ac:dyDescent="0.2">
      <c r="B41" s="3">
        <v>43945.498611111114</v>
      </c>
      <c r="C41" s="33">
        <f t="shared" si="0"/>
        <v>5</v>
      </c>
      <c r="D41" s="34">
        <v>1414</v>
      </c>
      <c r="E41" s="1">
        <v>6914</v>
      </c>
      <c r="F41" s="1">
        <v>10897</v>
      </c>
      <c r="G41" s="33">
        <v>44009</v>
      </c>
    </row>
    <row r="42" spans="2:7" x14ac:dyDescent="0.2">
      <c r="B42" s="3">
        <v>43948.500694444447</v>
      </c>
      <c r="C42" s="33">
        <f t="shared" si="0"/>
        <v>1</v>
      </c>
      <c r="D42" s="34">
        <v>374</v>
      </c>
      <c r="E42" s="1">
        <v>6947</v>
      </c>
      <c r="F42" s="1">
        <v>11763</v>
      </c>
      <c r="G42" s="33">
        <v>44454</v>
      </c>
    </row>
    <row r="43" spans="2:7" x14ac:dyDescent="0.2">
      <c r="B43" s="3">
        <v>43949.501388888886</v>
      </c>
      <c r="C43" s="33">
        <f t="shared" si="0"/>
        <v>2</v>
      </c>
      <c r="D43" s="34">
        <v>1432</v>
      </c>
      <c r="E43" s="1">
        <v>7078</v>
      </c>
      <c r="F43" s="1">
        <v>12516</v>
      </c>
      <c r="G43" s="33">
        <v>44863</v>
      </c>
    </row>
    <row r="44" spans="2:7" x14ac:dyDescent="0.2">
      <c r="B44" s="3">
        <v>43950.5</v>
      </c>
      <c r="C44" s="33">
        <f t="shared" si="0"/>
        <v>3</v>
      </c>
      <c r="D44" s="34">
        <v>1745</v>
      </c>
      <c r="E44" s="1">
        <v>7423</v>
      </c>
      <c r="F44" s="1">
        <v>12799</v>
      </c>
      <c r="G44" s="33">
        <v>45354</v>
      </c>
    </row>
    <row r="45" spans="2:7" x14ac:dyDescent="0.2">
      <c r="B45" s="3">
        <v>43951.500694444447</v>
      </c>
      <c r="C45" s="33">
        <f t="shared" si="0"/>
        <v>4</v>
      </c>
      <c r="D45" s="34">
        <v>1557</v>
      </c>
      <c r="E45" s="1">
        <v>7469</v>
      </c>
      <c r="F45" s="1">
        <v>12998</v>
      </c>
      <c r="G45" s="33">
        <v>45801</v>
      </c>
    </row>
    <row r="46" spans="2:7" x14ac:dyDescent="0.2">
      <c r="B46" s="3">
        <v>43952.501388888886</v>
      </c>
      <c r="C46" s="33">
        <f t="shared" si="0"/>
        <v>5</v>
      </c>
      <c r="D46" s="34">
        <v>1269</v>
      </c>
      <c r="E46" s="1">
        <v>6859</v>
      </c>
      <c r="F46" s="1">
        <v>12068</v>
      </c>
      <c r="G46" s="33">
        <v>42427</v>
      </c>
    </row>
    <row r="47" spans="2:7" x14ac:dyDescent="0.2">
      <c r="B47" s="3">
        <v>43955.503472222219</v>
      </c>
      <c r="C47" s="33">
        <f t="shared" si="0"/>
        <v>1</v>
      </c>
      <c r="D47" s="34">
        <v>499</v>
      </c>
      <c r="E47" s="1">
        <v>7577</v>
      </c>
      <c r="F47" s="1">
        <v>13111</v>
      </c>
      <c r="G47" s="33">
        <v>43958</v>
      </c>
    </row>
    <row r="48" spans="2:7" x14ac:dyDescent="0.2">
      <c r="B48" s="3">
        <v>43956.501388888886</v>
      </c>
      <c r="C48" s="33">
        <f t="shared" si="0"/>
        <v>2</v>
      </c>
      <c r="D48" s="34">
        <v>1669</v>
      </c>
      <c r="E48" s="1">
        <v>7760</v>
      </c>
      <c r="F48" s="1">
        <v>13359</v>
      </c>
      <c r="G48" s="33">
        <v>46317</v>
      </c>
    </row>
    <row r="49" spans="2:7" x14ac:dyDescent="0.2">
      <c r="B49" s="3">
        <v>43957.502083333333</v>
      </c>
      <c r="C49" s="33">
        <f t="shared" si="0"/>
        <v>3</v>
      </c>
      <c r="D49" s="34">
        <v>1675</v>
      </c>
      <c r="E49" s="1">
        <v>7698</v>
      </c>
      <c r="F49" s="1">
        <v>13646</v>
      </c>
      <c r="G49" s="33">
        <v>46924</v>
      </c>
    </row>
    <row r="50" spans="2:7" x14ac:dyDescent="0.2">
      <c r="B50" s="3">
        <v>43958.500694444447</v>
      </c>
      <c r="C50" s="33">
        <f t="shared" si="0"/>
        <v>4</v>
      </c>
      <c r="D50" s="34">
        <v>1696</v>
      </c>
      <c r="E50" s="1">
        <v>7906</v>
      </c>
      <c r="F50" s="1">
        <v>13815</v>
      </c>
      <c r="G50" s="33">
        <v>47455</v>
      </c>
    </row>
    <row r="51" spans="2:7" x14ac:dyDescent="0.2">
      <c r="B51" s="3">
        <v>43962.501388888886</v>
      </c>
      <c r="C51" s="33">
        <f t="shared" si="0"/>
        <v>1</v>
      </c>
      <c r="D51" s="34">
        <v>551</v>
      </c>
      <c r="E51" s="1">
        <v>7254</v>
      </c>
      <c r="F51" s="1">
        <v>13438</v>
      </c>
      <c r="G51" s="33">
        <v>47709</v>
      </c>
    </row>
    <row r="52" spans="2:7" x14ac:dyDescent="0.2">
      <c r="B52" s="3">
        <v>43963.504861111112</v>
      </c>
      <c r="C52" s="33">
        <f t="shared" si="0"/>
        <v>2</v>
      </c>
      <c r="D52" s="34">
        <v>1893</v>
      </c>
      <c r="E52" s="1">
        <v>7359</v>
      </c>
      <c r="F52" s="1">
        <v>13680</v>
      </c>
      <c r="G52" s="33">
        <v>47891</v>
      </c>
    </row>
    <row r="53" spans="2:7" x14ac:dyDescent="0.2">
      <c r="B53" s="3">
        <v>43964.501388888886</v>
      </c>
      <c r="C53" s="33">
        <f t="shared" si="0"/>
        <v>3</v>
      </c>
      <c r="D53" s="34">
        <v>1927</v>
      </c>
      <c r="E53" s="1">
        <v>7693</v>
      </c>
      <c r="F53" s="1">
        <v>13951</v>
      </c>
      <c r="G53" s="33">
        <v>48707</v>
      </c>
    </row>
    <row r="54" spans="2:7" x14ac:dyDescent="0.2">
      <c r="B54" s="3">
        <v>43965.503472222219</v>
      </c>
      <c r="C54" s="33">
        <f t="shared" si="0"/>
        <v>4</v>
      </c>
      <c r="D54" s="34">
        <v>2162</v>
      </c>
      <c r="E54" s="1">
        <v>8129</v>
      </c>
      <c r="F54" s="1">
        <v>14617</v>
      </c>
      <c r="G54" s="33">
        <v>49374</v>
      </c>
    </row>
    <row r="55" spans="2:7" x14ac:dyDescent="0.2">
      <c r="B55" s="3">
        <v>43966.506944444445</v>
      </c>
      <c r="C55" s="33">
        <f t="shared" si="0"/>
        <v>5</v>
      </c>
      <c r="D55" s="34">
        <v>2155</v>
      </c>
      <c r="E55" s="1">
        <v>9019</v>
      </c>
      <c r="F55" s="1">
        <v>15407</v>
      </c>
      <c r="G55" s="33">
        <v>50162</v>
      </c>
    </row>
    <row r="56" spans="2:7" x14ac:dyDescent="0.2">
      <c r="B56" s="3">
        <v>43969.500694444447</v>
      </c>
      <c r="C56" s="33">
        <f t="shared" si="0"/>
        <v>1</v>
      </c>
      <c r="D56" s="34">
        <v>667</v>
      </c>
      <c r="E56" s="1">
        <v>10341</v>
      </c>
      <c r="F56" s="1">
        <v>16139</v>
      </c>
      <c r="G56" s="33">
        <v>50958</v>
      </c>
    </row>
    <row r="57" spans="2:7" x14ac:dyDescent="0.2">
      <c r="B57" s="3">
        <v>43970.504166666666</v>
      </c>
      <c r="C57" s="33">
        <f t="shared" si="0"/>
        <v>2</v>
      </c>
      <c r="D57" s="34">
        <v>2579</v>
      </c>
      <c r="E57" s="1">
        <v>10992</v>
      </c>
      <c r="F57" s="1">
        <v>16929</v>
      </c>
      <c r="G57" s="33">
        <v>51649</v>
      </c>
    </row>
    <row r="58" spans="2:7" x14ac:dyDescent="0.2">
      <c r="B58" s="3">
        <v>43971.503472222219</v>
      </c>
      <c r="C58" s="33">
        <f t="shared" si="0"/>
        <v>3</v>
      </c>
      <c r="D58" s="34">
        <v>2328</v>
      </c>
      <c r="E58" s="1">
        <v>11361</v>
      </c>
      <c r="F58" s="1">
        <v>17496</v>
      </c>
      <c r="G58" s="33">
        <v>52257</v>
      </c>
    </row>
    <row r="59" spans="2:7" x14ac:dyDescent="0.2">
      <c r="B59" s="3">
        <v>43972.502083333333</v>
      </c>
      <c r="C59" s="33">
        <f t="shared" si="0"/>
        <v>4</v>
      </c>
      <c r="D59" s="34">
        <v>2361</v>
      </c>
      <c r="E59" s="1">
        <v>11590</v>
      </c>
      <c r="F59" s="1">
        <v>18151</v>
      </c>
      <c r="G59" s="33">
        <v>53006</v>
      </c>
    </row>
    <row r="60" spans="2:7" x14ac:dyDescent="0.2">
      <c r="B60" s="3">
        <v>43973.50277777778</v>
      </c>
      <c r="C60" s="33">
        <f t="shared" si="0"/>
        <v>5</v>
      </c>
      <c r="D60" s="34">
        <v>2258</v>
      </c>
      <c r="E60" s="1">
        <v>11621</v>
      </c>
      <c r="F60" s="1">
        <v>18810</v>
      </c>
      <c r="G60" s="33">
        <v>53623</v>
      </c>
    </row>
    <row r="61" spans="2:7" x14ac:dyDescent="0.2">
      <c r="B61" s="3">
        <v>43977.502083333333</v>
      </c>
      <c r="C61" s="33">
        <f t="shared" si="0"/>
        <v>2</v>
      </c>
      <c r="D61" s="34">
        <v>860</v>
      </c>
      <c r="E61" s="1">
        <v>10020</v>
      </c>
      <c r="F61" s="1">
        <v>19105</v>
      </c>
      <c r="G61" s="33">
        <v>54385</v>
      </c>
    </row>
    <row r="62" spans="2:7" x14ac:dyDescent="0.2">
      <c r="B62" s="3">
        <v>43978.501388888886</v>
      </c>
      <c r="C62" s="33">
        <f t="shared" si="0"/>
        <v>3</v>
      </c>
      <c r="D62" s="34">
        <v>2472</v>
      </c>
      <c r="E62" s="1">
        <v>10078</v>
      </c>
      <c r="F62" s="1">
        <v>19228</v>
      </c>
      <c r="G62" s="33">
        <v>54586</v>
      </c>
    </row>
    <row r="63" spans="2:7" x14ac:dyDescent="0.2">
      <c r="B63" s="35">
        <v>43979.502083333333</v>
      </c>
      <c r="C63" s="33">
        <f t="shared" si="0"/>
        <v>4</v>
      </c>
      <c r="D63" s="34">
        <v>2385</v>
      </c>
      <c r="E63" s="1">
        <v>10064</v>
      </c>
      <c r="F63" s="1">
        <v>19367</v>
      </c>
      <c r="G63" s="33">
        <v>55097</v>
      </c>
    </row>
    <row r="64" spans="2:7" x14ac:dyDescent="0.2">
      <c r="B64" s="35">
        <v>43980.504861111112</v>
      </c>
      <c r="C64" s="33">
        <f t="shared" si="0"/>
        <v>5</v>
      </c>
      <c r="D64" s="34">
        <v>2560</v>
      </c>
      <c r="E64" s="1">
        <v>10425</v>
      </c>
      <c r="F64" s="1">
        <v>19574</v>
      </c>
      <c r="G64" s="33">
        <v>55839</v>
      </c>
    </row>
    <row r="65" spans="2:7" x14ac:dyDescent="0.2">
      <c r="B65" s="3">
        <v>43983.501388888886</v>
      </c>
      <c r="C65" s="33">
        <f t="shared" si="0"/>
        <v>1</v>
      </c>
      <c r="D65" s="34">
        <v>787</v>
      </c>
      <c r="E65" s="1">
        <v>10771</v>
      </c>
      <c r="F65" s="1">
        <v>19902</v>
      </c>
      <c r="G65" s="33">
        <v>56312</v>
      </c>
    </row>
    <row r="66" spans="2:7" x14ac:dyDescent="0.2">
      <c r="B66" s="3">
        <v>43984.502083333333</v>
      </c>
      <c r="C66" s="33">
        <f t="shared" si="0"/>
        <v>2</v>
      </c>
      <c r="D66" s="34">
        <v>2848</v>
      </c>
      <c r="E66" s="1">
        <v>12436</v>
      </c>
      <c r="F66" s="1">
        <v>20012</v>
      </c>
      <c r="G66" s="33">
        <v>56815</v>
      </c>
    </row>
    <row r="67" spans="2:7" x14ac:dyDescent="0.2">
      <c r="B67" s="3">
        <v>43985.501388888886</v>
      </c>
      <c r="C67" s="33">
        <f t="shared" si="0"/>
        <v>3</v>
      </c>
      <c r="D67" s="34">
        <v>3226</v>
      </c>
      <c r="E67" s="1">
        <v>13174</v>
      </c>
      <c r="F67" s="1">
        <v>20792</v>
      </c>
      <c r="G67" s="33">
        <v>57778</v>
      </c>
    </row>
    <row r="68" spans="2:7" x14ac:dyDescent="0.2">
      <c r="B68" s="3">
        <v>43987.50208327546</v>
      </c>
      <c r="C68" s="33">
        <f t="shared" si="0"/>
        <v>5</v>
      </c>
      <c r="D68" s="34">
        <v>2711</v>
      </c>
      <c r="E68" s="1">
        <v>14096</v>
      </c>
      <c r="F68" s="1">
        <v>21912</v>
      </c>
      <c r="G68" s="33">
        <v>58901</v>
      </c>
    </row>
    <row r="69" spans="2:7" x14ac:dyDescent="0.2">
      <c r="B69" s="3">
        <v>43990.502083333333</v>
      </c>
      <c r="C69" s="33">
        <f t="shared" si="0"/>
        <v>1</v>
      </c>
      <c r="D69" s="34">
        <v>942</v>
      </c>
      <c r="E69" s="1">
        <v>14426</v>
      </c>
      <c r="F69" s="1">
        <v>22488</v>
      </c>
      <c r="G69" s="33">
        <v>59517</v>
      </c>
    </row>
    <row r="70" spans="2:7" x14ac:dyDescent="0.2">
      <c r="B70" s="3">
        <v>43991.504166666666</v>
      </c>
      <c r="C70" s="33">
        <f t="shared" si="0"/>
        <v>2</v>
      </c>
      <c r="D70" s="34">
        <v>2992</v>
      </c>
      <c r="E70" s="1">
        <v>14472</v>
      </c>
      <c r="F70" s="1">
        <v>23879</v>
      </c>
      <c r="G70" s="33">
        <v>59894</v>
      </c>
    </row>
    <row r="71" spans="2:7" x14ac:dyDescent="0.2">
      <c r="B71" s="3">
        <v>43992.503472222219</v>
      </c>
      <c r="C71" s="33">
        <f t="shared" si="0"/>
        <v>3</v>
      </c>
      <c r="D71" s="34">
        <v>3077</v>
      </c>
      <c r="E71" s="1">
        <v>14232</v>
      </c>
      <c r="F71" s="1">
        <v>24322</v>
      </c>
      <c r="G71" s="33">
        <v>60557</v>
      </c>
    </row>
    <row r="72" spans="2:7" x14ac:dyDescent="0.2">
      <c r="B72" s="3">
        <v>43993.506944444445</v>
      </c>
      <c r="C72" s="33">
        <f t="shared" si="0"/>
        <v>4</v>
      </c>
      <c r="D72" s="34">
        <v>2956</v>
      </c>
      <c r="E72" s="1">
        <v>14160</v>
      </c>
      <c r="F72" s="1">
        <v>24897</v>
      </c>
      <c r="G72" s="33">
        <v>61179</v>
      </c>
    </row>
    <row r="73" spans="2:7" x14ac:dyDescent="0.2">
      <c r="B73" s="3">
        <v>43994.502083333333</v>
      </c>
      <c r="C73" s="33">
        <f t="shared" si="0"/>
        <v>5</v>
      </c>
      <c r="D73" s="34">
        <v>2692</v>
      </c>
      <c r="E73" s="1">
        <v>14173</v>
      </c>
      <c r="F73" s="1">
        <v>24984</v>
      </c>
      <c r="G73" s="33">
        <v>62493</v>
      </c>
    </row>
    <row r="74" spans="2:7" x14ac:dyDescent="0.2">
      <c r="B74" s="3">
        <v>43997.504861111112</v>
      </c>
      <c r="C74" s="33">
        <f t="shared" si="0"/>
        <v>1</v>
      </c>
      <c r="D74" s="34">
        <v>926</v>
      </c>
      <c r="E74" s="1">
        <v>14206</v>
      </c>
      <c r="F74" s="1">
        <v>25228</v>
      </c>
      <c r="G74" s="33">
        <v>61995</v>
      </c>
    </row>
    <row r="75" spans="2:7" x14ac:dyDescent="0.2">
      <c r="B75" s="3">
        <v>43998.50277777778</v>
      </c>
      <c r="C75" s="33">
        <f t="shared" si="0"/>
        <v>2</v>
      </c>
      <c r="D75" s="34">
        <v>3217</v>
      </c>
      <c r="E75" s="1">
        <v>14229</v>
      </c>
      <c r="F75" s="1">
        <v>25218</v>
      </c>
      <c r="G75" s="33">
        <v>62283</v>
      </c>
    </row>
    <row r="76" spans="2:7" x14ac:dyDescent="0.2">
      <c r="B76" s="3">
        <v>43999.50277777778</v>
      </c>
      <c r="C76" s="33">
        <f t="shared" si="0"/>
        <v>3</v>
      </c>
      <c r="D76" s="34">
        <v>2817</v>
      </c>
      <c r="E76" s="1">
        <v>14177</v>
      </c>
      <c r="F76" s="1">
        <v>24952</v>
      </c>
      <c r="G76" s="33">
        <v>62630</v>
      </c>
    </row>
    <row r="77" spans="2:7" x14ac:dyDescent="0.2">
      <c r="B77" s="35">
        <v>44000.5</v>
      </c>
      <c r="C77" s="33">
        <f t="shared" si="0"/>
        <v>4</v>
      </c>
      <c r="D77" s="34">
        <v>2935</v>
      </c>
      <c r="E77" s="1">
        <v>14218</v>
      </c>
      <c r="F77" s="1">
        <v>24929</v>
      </c>
      <c r="G77" s="33">
        <v>62984</v>
      </c>
    </row>
    <row r="78" spans="2:7" x14ac:dyDescent="0.2">
      <c r="B78" s="3">
        <v>44001.5</v>
      </c>
      <c r="C78" s="33">
        <f t="shared" ref="C78:C141" si="1">WEEKDAY(B78,2)</f>
        <v>5</v>
      </c>
      <c r="D78" s="34">
        <v>2897</v>
      </c>
      <c r="E78" s="1">
        <v>14931</v>
      </c>
      <c r="F78" s="1">
        <v>25010</v>
      </c>
      <c r="G78" s="33">
        <v>63415</v>
      </c>
    </row>
    <row r="79" spans="2:7" x14ac:dyDescent="0.2">
      <c r="B79" s="3">
        <v>44004.5</v>
      </c>
      <c r="C79" s="33">
        <f t="shared" si="1"/>
        <v>1</v>
      </c>
      <c r="D79" s="34">
        <v>1108</v>
      </c>
      <c r="E79" s="1">
        <v>14130</v>
      </c>
      <c r="F79" s="1">
        <v>24772</v>
      </c>
      <c r="G79" s="33">
        <v>63475</v>
      </c>
    </row>
    <row r="80" spans="2:7" x14ac:dyDescent="0.2">
      <c r="B80" s="3">
        <v>44005.506944444445</v>
      </c>
      <c r="C80" s="33">
        <f t="shared" si="1"/>
        <v>2</v>
      </c>
      <c r="D80" s="34">
        <v>2903</v>
      </c>
      <c r="E80" s="1">
        <v>14037</v>
      </c>
      <c r="F80" s="1">
        <v>24793</v>
      </c>
      <c r="G80" s="33">
        <v>64122</v>
      </c>
    </row>
    <row r="81" spans="2:7" x14ac:dyDescent="0.2">
      <c r="B81" s="3">
        <v>44006.503472222219</v>
      </c>
      <c r="C81" s="33">
        <f t="shared" si="1"/>
        <v>3</v>
      </c>
      <c r="D81" s="34">
        <v>3003</v>
      </c>
      <c r="E81" s="1">
        <v>14109</v>
      </c>
      <c r="F81" s="1">
        <v>24781</v>
      </c>
      <c r="G81" s="33">
        <v>64399</v>
      </c>
    </row>
    <row r="82" spans="2:7" x14ac:dyDescent="0.2">
      <c r="B82" s="3">
        <v>44007.505555555559</v>
      </c>
      <c r="C82" s="33">
        <f t="shared" si="1"/>
        <v>4</v>
      </c>
      <c r="D82" s="34">
        <v>2805</v>
      </c>
      <c r="E82" s="1">
        <v>13935</v>
      </c>
      <c r="F82" s="1">
        <v>24773</v>
      </c>
      <c r="G82" s="33">
        <v>64848</v>
      </c>
    </row>
    <row r="83" spans="2:7" x14ac:dyDescent="0.2">
      <c r="B83" s="3">
        <v>44011.5</v>
      </c>
      <c r="C83" s="33">
        <f t="shared" si="1"/>
        <v>1</v>
      </c>
      <c r="D83" s="34">
        <v>985</v>
      </c>
      <c r="E83" s="1">
        <v>13648</v>
      </c>
      <c r="F83" s="1">
        <v>24569</v>
      </c>
      <c r="G83" s="33">
        <v>65516</v>
      </c>
    </row>
    <row r="84" spans="2:7" x14ac:dyDescent="0.2">
      <c r="B84" s="3">
        <v>44012.503472222219</v>
      </c>
      <c r="C84" s="33">
        <f t="shared" si="1"/>
        <v>2</v>
      </c>
      <c r="D84" s="34">
        <v>2916</v>
      </c>
      <c r="E84" s="1">
        <v>13619</v>
      </c>
      <c r="F84" s="1">
        <v>24435</v>
      </c>
      <c r="G84" s="33">
        <v>65879</v>
      </c>
    </row>
    <row r="85" spans="2:7" x14ac:dyDescent="0.2">
      <c r="B85" s="3">
        <v>44013.507638888892</v>
      </c>
      <c r="C85" s="33">
        <f t="shared" si="1"/>
        <v>3</v>
      </c>
      <c r="D85" s="34">
        <v>3154</v>
      </c>
      <c r="E85" s="1">
        <v>13854</v>
      </c>
      <c r="F85" s="1">
        <v>24737</v>
      </c>
      <c r="G85" s="33">
        <v>66261</v>
      </c>
    </row>
    <row r="86" spans="2:7" x14ac:dyDescent="0.2">
      <c r="B86" s="3">
        <v>44014.5</v>
      </c>
      <c r="C86" s="33">
        <f t="shared" si="1"/>
        <v>4</v>
      </c>
      <c r="D86" s="34">
        <v>3343</v>
      </c>
      <c r="E86" s="1">
        <v>14335</v>
      </c>
      <c r="F86" s="1">
        <v>25026</v>
      </c>
      <c r="G86" s="33">
        <v>66689</v>
      </c>
    </row>
    <row r="87" spans="2:7" x14ac:dyDescent="0.2">
      <c r="B87" s="3">
        <v>44015.511111111111</v>
      </c>
      <c r="C87" s="33">
        <f t="shared" si="1"/>
        <v>5</v>
      </c>
      <c r="D87" s="34">
        <v>3056</v>
      </c>
      <c r="E87" s="1">
        <v>14759</v>
      </c>
      <c r="F87" s="1">
        <v>25222</v>
      </c>
      <c r="G87" s="33">
        <v>67245</v>
      </c>
    </row>
    <row r="88" spans="2:7" x14ac:dyDescent="0.2">
      <c r="B88" s="3">
        <v>44018.511805555558</v>
      </c>
      <c r="C88" s="33">
        <f t="shared" si="1"/>
        <v>1</v>
      </c>
      <c r="D88" s="34">
        <v>1348</v>
      </c>
      <c r="E88" s="1">
        <v>14991</v>
      </c>
      <c r="F88" s="1">
        <v>25365</v>
      </c>
      <c r="G88" s="33">
        <v>67468</v>
      </c>
    </row>
    <row r="89" spans="2:7" x14ac:dyDescent="0.2">
      <c r="B89" s="3">
        <v>44019.50277777778</v>
      </c>
      <c r="C89" s="33">
        <f t="shared" si="1"/>
        <v>2</v>
      </c>
      <c r="D89" s="34">
        <v>3214</v>
      </c>
      <c r="E89" s="1">
        <v>15240</v>
      </c>
      <c r="F89" s="1">
        <v>25526</v>
      </c>
      <c r="G89" s="33">
        <v>67767</v>
      </c>
    </row>
    <row r="90" spans="2:7" x14ac:dyDescent="0.2">
      <c r="B90" s="3">
        <v>44020.503472222219</v>
      </c>
      <c r="C90" s="33">
        <f t="shared" si="1"/>
        <v>3</v>
      </c>
      <c r="D90" s="34">
        <v>3253</v>
      </c>
      <c r="E90" s="1">
        <v>15293</v>
      </c>
      <c r="F90" s="1">
        <v>25751</v>
      </c>
      <c r="G90" s="33">
        <v>68014</v>
      </c>
    </row>
    <row r="91" spans="2:7" x14ac:dyDescent="0.2">
      <c r="B91" s="3">
        <v>44021.507638888892</v>
      </c>
      <c r="C91" s="33">
        <f t="shared" si="1"/>
        <v>4</v>
      </c>
      <c r="D91" s="34">
        <v>3151</v>
      </c>
      <c r="E91" s="1">
        <v>15235</v>
      </c>
      <c r="F91" s="1">
        <v>26072</v>
      </c>
      <c r="G91" s="33">
        <v>68456</v>
      </c>
    </row>
    <row r="92" spans="2:7" x14ac:dyDescent="0.2">
      <c r="B92" s="3">
        <v>44025.510416666664</v>
      </c>
      <c r="C92" s="33">
        <f t="shared" si="1"/>
        <v>1</v>
      </c>
      <c r="D92" s="34">
        <v>1219</v>
      </c>
      <c r="E92" s="1">
        <v>14943</v>
      </c>
      <c r="F92" s="1">
        <v>26259</v>
      </c>
      <c r="G92" s="33">
        <v>68831</v>
      </c>
    </row>
    <row r="93" spans="2:7" x14ac:dyDescent="0.2">
      <c r="B93" s="3">
        <v>44026.507638888892</v>
      </c>
      <c r="C93" s="33">
        <f t="shared" si="1"/>
        <v>2</v>
      </c>
      <c r="D93" s="34">
        <v>3187</v>
      </c>
      <c r="E93" s="1">
        <v>14898</v>
      </c>
      <c r="F93" s="1">
        <v>26546</v>
      </c>
      <c r="G93" s="33">
        <v>69074</v>
      </c>
    </row>
    <row r="94" spans="2:7" x14ac:dyDescent="0.2">
      <c r="B94" s="3">
        <v>44027.502083333333</v>
      </c>
      <c r="C94" s="33">
        <f t="shared" si="1"/>
        <v>3</v>
      </c>
      <c r="D94" s="34">
        <v>3169</v>
      </c>
      <c r="E94" s="1">
        <v>14820</v>
      </c>
      <c r="F94" s="1">
        <v>26491</v>
      </c>
      <c r="G94" s="33">
        <v>69223</v>
      </c>
    </row>
    <row r="95" spans="2:7" x14ac:dyDescent="0.2">
      <c r="B95" s="3">
        <v>44028.510416666664</v>
      </c>
      <c r="C95" s="33">
        <f t="shared" si="1"/>
        <v>4</v>
      </c>
      <c r="D95" s="34">
        <v>3024</v>
      </c>
      <c r="E95" s="1">
        <v>14724</v>
      </c>
      <c r="F95" s="1">
        <v>26223</v>
      </c>
      <c r="G95" s="33">
        <v>69347</v>
      </c>
    </row>
    <row r="96" spans="2:7" x14ac:dyDescent="0.2">
      <c r="B96" s="3">
        <v>44029.504166666666</v>
      </c>
      <c r="C96" s="33">
        <f t="shared" si="1"/>
        <v>5</v>
      </c>
      <c r="D96" s="34">
        <v>3025</v>
      </c>
      <c r="E96" s="1">
        <v>14912</v>
      </c>
      <c r="F96" s="1">
        <v>26259</v>
      </c>
      <c r="G96" s="33">
        <v>69466</v>
      </c>
    </row>
    <row r="97" spans="2:7" x14ac:dyDescent="0.2">
      <c r="B97" s="3">
        <v>44032.515277777777</v>
      </c>
      <c r="C97" s="33">
        <f t="shared" si="1"/>
        <v>1</v>
      </c>
      <c r="D97" s="34">
        <v>1306</v>
      </c>
      <c r="E97" s="1">
        <v>14922</v>
      </c>
      <c r="F97" s="1">
        <v>26064</v>
      </c>
      <c r="G97" s="33">
        <v>69538</v>
      </c>
    </row>
    <row r="98" spans="2:7" x14ac:dyDescent="0.2">
      <c r="B98" s="3">
        <v>44033.507638888892</v>
      </c>
      <c r="C98" s="33">
        <f t="shared" si="1"/>
        <v>2</v>
      </c>
      <c r="D98" s="34">
        <v>3200</v>
      </c>
      <c r="E98" s="1">
        <v>14856</v>
      </c>
      <c r="F98" s="1">
        <v>25978</v>
      </c>
      <c r="G98" s="33">
        <v>69747</v>
      </c>
    </row>
    <row r="99" spans="2:7" x14ac:dyDescent="0.2">
      <c r="B99" s="3">
        <v>44034.50277777778</v>
      </c>
      <c r="C99" s="33">
        <f t="shared" si="1"/>
        <v>3</v>
      </c>
      <c r="D99" s="34">
        <v>2960</v>
      </c>
      <c r="E99" s="1">
        <v>14702</v>
      </c>
      <c r="F99" s="1">
        <v>25853</v>
      </c>
      <c r="G99" s="33">
        <v>69875</v>
      </c>
    </row>
    <row r="100" spans="2:7" x14ac:dyDescent="0.2">
      <c r="B100" s="3">
        <v>44035.502083333333</v>
      </c>
      <c r="C100" s="33">
        <f t="shared" si="1"/>
        <v>4</v>
      </c>
      <c r="D100" s="34">
        <v>3025</v>
      </c>
      <c r="E100" s="1">
        <v>14757</v>
      </c>
      <c r="F100" s="1">
        <v>25858</v>
      </c>
      <c r="G100" s="33">
        <v>70007</v>
      </c>
    </row>
    <row r="101" spans="2:7" x14ac:dyDescent="0.2">
      <c r="B101" s="3">
        <v>44036.515277777777</v>
      </c>
      <c r="C101" s="33">
        <f t="shared" si="1"/>
        <v>5</v>
      </c>
      <c r="D101" s="34">
        <v>2891</v>
      </c>
      <c r="E101" s="1">
        <v>14562</v>
      </c>
      <c r="F101" s="1">
        <v>25775</v>
      </c>
      <c r="G101" s="33">
        <v>70133</v>
      </c>
    </row>
    <row r="102" spans="2:7" x14ac:dyDescent="0.2">
      <c r="B102" s="3">
        <v>44039.506944444445</v>
      </c>
      <c r="C102" s="33">
        <f t="shared" si="1"/>
        <v>1</v>
      </c>
      <c r="D102" s="34">
        <v>1109</v>
      </c>
      <c r="E102" s="1">
        <v>14456</v>
      </c>
      <c r="F102" s="1">
        <v>25688</v>
      </c>
      <c r="G102" s="33">
        <v>70236</v>
      </c>
    </row>
    <row r="103" spans="2:7" x14ac:dyDescent="0.2">
      <c r="B103" s="3">
        <v>44040.520138888889</v>
      </c>
      <c r="C103" s="33">
        <f t="shared" si="1"/>
        <v>2</v>
      </c>
      <c r="D103" s="34">
        <v>3019</v>
      </c>
      <c r="E103" s="5">
        <v>14312</v>
      </c>
      <c r="F103" s="1">
        <v>25514</v>
      </c>
      <c r="G103" s="33">
        <v>70312</v>
      </c>
    </row>
    <row r="104" spans="2:7" x14ac:dyDescent="0.2">
      <c r="B104" s="3">
        <v>44041.506944444445</v>
      </c>
      <c r="C104" s="33">
        <f t="shared" si="1"/>
        <v>3</v>
      </c>
      <c r="D104" s="34">
        <v>2959</v>
      </c>
      <c r="E104" s="1">
        <v>14239</v>
      </c>
      <c r="F104" s="1">
        <v>25289</v>
      </c>
      <c r="G104" s="33">
        <v>70225</v>
      </c>
    </row>
    <row r="105" spans="2:7" x14ac:dyDescent="0.2">
      <c r="B105" s="3">
        <v>44042.507638888892</v>
      </c>
      <c r="C105" s="33">
        <f t="shared" si="1"/>
        <v>4</v>
      </c>
      <c r="D105" s="34">
        <v>2763</v>
      </c>
      <c r="E105" s="1">
        <v>14044</v>
      </c>
      <c r="F105" s="1">
        <v>25017</v>
      </c>
      <c r="G105" s="33">
        <v>70110</v>
      </c>
    </row>
    <row r="106" spans="2:7" x14ac:dyDescent="0.2">
      <c r="B106" s="3">
        <v>44043.512499999997</v>
      </c>
      <c r="C106" s="33">
        <f t="shared" si="1"/>
        <v>5</v>
      </c>
      <c r="D106" s="34">
        <v>2544</v>
      </c>
      <c r="E106" s="1">
        <v>13761</v>
      </c>
      <c r="F106" s="1">
        <v>24698</v>
      </c>
      <c r="G106" s="33">
        <v>70119</v>
      </c>
    </row>
    <row r="107" spans="2:7" x14ac:dyDescent="0.2">
      <c r="B107" s="3">
        <v>44046.50277777778</v>
      </c>
      <c r="C107" s="33">
        <f t="shared" si="1"/>
        <v>1</v>
      </c>
      <c r="D107" s="34">
        <v>1059</v>
      </c>
      <c r="E107" s="1">
        <v>13540</v>
      </c>
      <c r="F107" s="1">
        <v>24406</v>
      </c>
      <c r="G107" s="33">
        <v>69850</v>
      </c>
    </row>
    <row r="108" spans="2:7" x14ac:dyDescent="0.2">
      <c r="B108" s="3">
        <v>44047.506249999999</v>
      </c>
      <c r="C108" s="33">
        <f t="shared" si="1"/>
        <v>2</v>
      </c>
      <c r="D108" s="34">
        <v>3088</v>
      </c>
      <c r="E108" s="1">
        <v>13719</v>
      </c>
      <c r="F108" s="1">
        <v>24419</v>
      </c>
      <c r="G108" s="33">
        <v>69953</v>
      </c>
    </row>
    <row r="109" spans="2:7" x14ac:dyDescent="0.2">
      <c r="B109" s="3">
        <v>44048.51458333333</v>
      </c>
      <c r="C109" s="33">
        <f t="shared" si="1"/>
        <v>3</v>
      </c>
      <c r="D109" s="34">
        <v>3144</v>
      </c>
      <c r="E109" s="1">
        <v>13904</v>
      </c>
      <c r="F109" s="1">
        <v>24648</v>
      </c>
      <c r="G109" s="33">
        <v>70106</v>
      </c>
    </row>
    <row r="110" spans="2:7" x14ac:dyDescent="0.2">
      <c r="B110" s="3">
        <v>44049.500694444447</v>
      </c>
      <c r="C110" s="33">
        <f t="shared" si="1"/>
        <v>4</v>
      </c>
      <c r="D110" s="34">
        <v>2875</v>
      </c>
      <c r="E110" s="5">
        <v>14086</v>
      </c>
      <c r="F110" s="1">
        <v>24816</v>
      </c>
      <c r="G110" s="33">
        <v>70361</v>
      </c>
    </row>
    <row r="111" spans="2:7" x14ac:dyDescent="0.2">
      <c r="B111" s="3">
        <v>44050.50277777778</v>
      </c>
      <c r="C111" s="33">
        <f t="shared" si="1"/>
        <v>5</v>
      </c>
      <c r="D111" s="34">
        <v>2755</v>
      </c>
      <c r="E111" s="1">
        <v>14233</v>
      </c>
      <c r="F111" s="1">
        <v>24686</v>
      </c>
      <c r="G111" s="33">
        <v>70369</v>
      </c>
    </row>
    <row r="112" spans="2:7" x14ac:dyDescent="0.2">
      <c r="B112" s="3">
        <v>44053.523611111108</v>
      </c>
      <c r="C112" s="33">
        <f t="shared" si="1"/>
        <v>1</v>
      </c>
      <c r="D112" s="34">
        <v>1844</v>
      </c>
      <c r="E112" s="1">
        <v>14062</v>
      </c>
      <c r="F112" s="1">
        <v>24500</v>
      </c>
      <c r="G112" s="33">
        <v>70008</v>
      </c>
    </row>
    <row r="113" spans="2:7" x14ac:dyDescent="0.2">
      <c r="B113" s="3">
        <v>44054.51666666667</v>
      </c>
      <c r="C113" s="33">
        <f t="shared" si="1"/>
        <v>2</v>
      </c>
      <c r="D113" s="34">
        <v>2859</v>
      </c>
      <c r="E113" s="1">
        <v>14064</v>
      </c>
      <c r="F113" s="1">
        <v>24520</v>
      </c>
      <c r="G113" s="33">
        <v>70044</v>
      </c>
    </row>
    <row r="114" spans="2:7" x14ac:dyDescent="0.2">
      <c r="B114" s="3">
        <v>44055.515277777777</v>
      </c>
      <c r="C114" s="33">
        <f t="shared" si="1"/>
        <v>3</v>
      </c>
      <c r="D114" s="34">
        <v>3262</v>
      </c>
      <c r="E114" s="1">
        <v>14241</v>
      </c>
      <c r="F114" s="1">
        <v>24700</v>
      </c>
      <c r="G114" s="33">
        <v>70065</v>
      </c>
    </row>
    <row r="115" spans="2:7" x14ac:dyDescent="0.2">
      <c r="B115" s="3">
        <v>44056.505555555559</v>
      </c>
      <c r="C115" s="33">
        <f t="shared" si="1"/>
        <v>4</v>
      </c>
      <c r="D115" s="34">
        <v>3016</v>
      </c>
      <c r="E115" s="1">
        <v>14346</v>
      </c>
      <c r="F115" s="1">
        <v>24968</v>
      </c>
      <c r="G115" s="33">
        <v>70345</v>
      </c>
    </row>
    <row r="116" spans="2:7" x14ac:dyDescent="0.2">
      <c r="B116" s="3">
        <v>44057.519444444442</v>
      </c>
      <c r="C116" s="33">
        <f t="shared" si="1"/>
        <v>5</v>
      </c>
      <c r="D116" s="34">
        <v>2829</v>
      </c>
      <c r="E116" s="1">
        <v>14434</v>
      </c>
      <c r="F116" s="1">
        <v>25117</v>
      </c>
      <c r="G116" s="33">
        <v>70543</v>
      </c>
    </row>
    <row r="117" spans="2:7" x14ac:dyDescent="0.2">
      <c r="B117" s="3">
        <v>44060.5</v>
      </c>
      <c r="C117" s="33">
        <f t="shared" si="1"/>
        <v>1</v>
      </c>
      <c r="D117" s="34">
        <v>1194</v>
      </c>
      <c r="E117" s="1">
        <v>14404</v>
      </c>
      <c r="F117" s="1">
        <v>25161</v>
      </c>
      <c r="G117" s="33">
        <v>70288</v>
      </c>
    </row>
    <row r="118" spans="2:7" x14ac:dyDescent="0.2">
      <c r="B118" s="3">
        <v>44061.513194444444</v>
      </c>
      <c r="C118" s="33">
        <f t="shared" si="1"/>
        <v>2</v>
      </c>
      <c r="D118" s="34">
        <v>2955</v>
      </c>
      <c r="E118" s="1">
        <v>14399</v>
      </c>
      <c r="F118" s="1">
        <v>24985</v>
      </c>
      <c r="G118" s="33">
        <v>70014</v>
      </c>
    </row>
    <row r="119" spans="2:7" x14ac:dyDescent="0.2">
      <c r="B119" s="3">
        <v>44062.496527777781</v>
      </c>
      <c r="C119" s="33">
        <f t="shared" si="1"/>
        <v>3</v>
      </c>
      <c r="D119" s="34">
        <v>3174</v>
      </c>
      <c r="E119" s="1">
        <v>14350</v>
      </c>
      <c r="F119" s="1">
        <v>25141</v>
      </c>
      <c r="G119" s="33">
        <v>70108</v>
      </c>
    </row>
    <row r="120" spans="2:7" x14ac:dyDescent="0.2">
      <c r="B120" s="3">
        <v>44064.5</v>
      </c>
      <c r="C120" s="33">
        <f t="shared" si="1"/>
        <v>5</v>
      </c>
      <c r="D120" s="34">
        <v>3009</v>
      </c>
      <c r="E120" s="1">
        <v>14688</v>
      </c>
      <c r="F120" s="1">
        <v>25565</v>
      </c>
      <c r="G120" s="33">
        <v>70323</v>
      </c>
    </row>
    <row r="121" spans="2:7" x14ac:dyDescent="0.2">
      <c r="B121" s="3">
        <v>44067.5</v>
      </c>
      <c r="C121" s="33">
        <f t="shared" si="1"/>
        <v>1</v>
      </c>
      <c r="D121" s="34">
        <v>900</v>
      </c>
      <c r="E121" s="1">
        <v>14577</v>
      </c>
      <c r="F121" s="1">
        <v>25339</v>
      </c>
      <c r="G121" s="33">
        <v>69893</v>
      </c>
    </row>
    <row r="122" spans="2:7" x14ac:dyDescent="0.2">
      <c r="B122" s="3">
        <v>44068.5</v>
      </c>
      <c r="C122" s="33">
        <f t="shared" si="1"/>
        <v>2</v>
      </c>
      <c r="D122" s="34">
        <v>2763</v>
      </c>
      <c r="E122" s="1">
        <v>14166</v>
      </c>
      <c r="F122" s="1">
        <v>25026</v>
      </c>
      <c r="G122" s="33">
        <v>69287</v>
      </c>
    </row>
    <row r="123" spans="2:7" x14ac:dyDescent="0.2">
      <c r="B123" s="3">
        <v>44082.525694444441</v>
      </c>
      <c r="C123" s="33">
        <f t="shared" si="1"/>
        <v>2</v>
      </c>
      <c r="D123" s="34">
        <v>3035</v>
      </c>
      <c r="E123" s="1">
        <v>14154</v>
      </c>
      <c r="F123" s="1">
        <v>22116</v>
      </c>
      <c r="G123" s="33">
        <v>66652</v>
      </c>
    </row>
    <row r="124" spans="2:7" x14ac:dyDescent="0.2">
      <c r="B124" s="3">
        <v>44096.5</v>
      </c>
      <c r="C124" s="33">
        <f t="shared" si="1"/>
        <v>2</v>
      </c>
      <c r="D124" s="34">
        <v>3079</v>
      </c>
      <c r="E124" s="1">
        <v>13783</v>
      </c>
      <c r="F124" s="1">
        <v>24075</v>
      </c>
      <c r="G124" s="33">
        <v>64383</v>
      </c>
    </row>
    <row r="125" spans="2:7" x14ac:dyDescent="0.2">
      <c r="B125" s="3">
        <v>44110.5</v>
      </c>
      <c r="C125" s="33">
        <f t="shared" si="1"/>
        <v>2</v>
      </c>
      <c r="D125" s="1">
        <v>3178</v>
      </c>
      <c r="E125" s="1">
        <v>14998</v>
      </c>
      <c r="F125" s="1">
        <v>25224</v>
      </c>
      <c r="G125" s="33">
        <v>63851</v>
      </c>
    </row>
    <row r="126" spans="2:7" x14ac:dyDescent="0.2">
      <c r="B126" s="3">
        <v>44124.5</v>
      </c>
      <c r="C126" s="33">
        <f t="shared" si="1"/>
        <v>2</v>
      </c>
      <c r="D126" s="1">
        <v>3501</v>
      </c>
      <c r="E126" s="1">
        <v>15093</v>
      </c>
      <c r="F126" s="1">
        <v>25490</v>
      </c>
      <c r="G126" s="33">
        <v>64024</v>
      </c>
    </row>
    <row r="127" spans="2:7" x14ac:dyDescent="0.2">
      <c r="B127" s="3">
        <v>44138.5</v>
      </c>
      <c r="C127" s="33">
        <f t="shared" si="1"/>
        <v>2</v>
      </c>
      <c r="D127" s="1">
        <v>3471</v>
      </c>
      <c r="E127" s="1">
        <v>15152</v>
      </c>
      <c r="F127" s="1">
        <v>25237</v>
      </c>
      <c r="G127" s="33">
        <v>63227</v>
      </c>
    </row>
    <row r="128" spans="2:7" x14ac:dyDescent="0.2">
      <c r="B128" s="3">
        <v>44152.5</v>
      </c>
      <c r="C128" s="33">
        <f t="shared" si="1"/>
        <v>2</v>
      </c>
      <c r="D128" s="1">
        <v>2830</v>
      </c>
      <c r="E128" s="1">
        <v>13451</v>
      </c>
      <c r="F128" s="1">
        <v>24224</v>
      </c>
      <c r="G128" s="33">
        <v>62569</v>
      </c>
    </row>
    <row r="129" spans="2:7" x14ac:dyDescent="0.2">
      <c r="B129" s="3">
        <v>44166.5</v>
      </c>
      <c r="C129" s="33">
        <f t="shared" si="1"/>
        <v>2</v>
      </c>
      <c r="D129" s="1">
        <v>2510</v>
      </c>
      <c r="E129" s="1">
        <v>11312</v>
      </c>
      <c r="F129" s="1">
        <v>20335</v>
      </c>
      <c r="G129" s="33">
        <v>60297</v>
      </c>
    </row>
    <row r="130" spans="2:7" x14ac:dyDescent="0.2">
      <c r="B130" s="3">
        <v>44180.5</v>
      </c>
      <c r="C130" s="33">
        <f t="shared" si="1"/>
        <v>2</v>
      </c>
      <c r="D130" s="1">
        <v>1832</v>
      </c>
      <c r="E130" s="1">
        <v>9094</v>
      </c>
      <c r="F130" s="1">
        <v>17553</v>
      </c>
      <c r="G130" s="33">
        <v>58425</v>
      </c>
    </row>
    <row r="131" spans="2:7" x14ac:dyDescent="0.2">
      <c r="B131" s="3">
        <v>44208</v>
      </c>
      <c r="C131" s="33">
        <f t="shared" si="1"/>
        <v>2</v>
      </c>
      <c r="D131" s="1">
        <v>2817</v>
      </c>
      <c r="E131" s="1">
        <v>12586</v>
      </c>
      <c r="F131" s="1">
        <v>16313</v>
      </c>
      <c r="G131" s="33">
        <v>56814</v>
      </c>
    </row>
    <row r="132" spans="2:7" x14ac:dyDescent="0.2">
      <c r="B132" s="3">
        <v>44222</v>
      </c>
      <c r="C132" s="33">
        <f t="shared" si="1"/>
        <v>2</v>
      </c>
      <c r="D132" s="1">
        <v>2869</v>
      </c>
      <c r="E132" s="1">
        <v>12453</v>
      </c>
      <c r="F132" s="1">
        <v>21360</v>
      </c>
      <c r="G132" s="33">
        <v>57264</v>
      </c>
    </row>
    <row r="133" spans="2:7" x14ac:dyDescent="0.2">
      <c r="B133" s="3">
        <v>44250</v>
      </c>
      <c r="C133" s="33">
        <f t="shared" si="1"/>
        <v>2</v>
      </c>
      <c r="D133" s="1">
        <v>2516</v>
      </c>
      <c r="E133" s="1">
        <v>12012</v>
      </c>
      <c r="F133" s="1">
        <v>21400</v>
      </c>
      <c r="G133" s="33">
        <v>57720</v>
      </c>
    </row>
    <row r="134" spans="2:7" x14ac:dyDescent="0.2">
      <c r="B134" s="3">
        <v>44264</v>
      </c>
      <c r="C134" s="33">
        <f t="shared" si="1"/>
        <v>2</v>
      </c>
      <c r="D134" s="1">
        <v>3487</v>
      </c>
      <c r="E134" s="1">
        <v>11786</v>
      </c>
      <c r="F134" s="1">
        <v>20226</v>
      </c>
      <c r="G134" s="33">
        <v>56829</v>
      </c>
    </row>
    <row r="135" spans="2:7" x14ac:dyDescent="0.2">
      <c r="B135" s="3">
        <v>44278</v>
      </c>
      <c r="C135" s="33">
        <f t="shared" si="1"/>
        <v>2</v>
      </c>
      <c r="D135" s="1">
        <v>2412</v>
      </c>
      <c r="E135" s="1">
        <v>11000</v>
      </c>
      <c r="F135" s="1">
        <v>19456</v>
      </c>
      <c r="G135" s="33">
        <v>55204</v>
      </c>
    </row>
    <row r="136" spans="2:7" x14ac:dyDescent="0.2">
      <c r="B136" s="3">
        <v>44292</v>
      </c>
      <c r="C136" s="33">
        <f t="shared" si="1"/>
        <v>2</v>
      </c>
      <c r="D136" s="1">
        <v>395</v>
      </c>
      <c r="E136" s="1">
        <v>7950</v>
      </c>
      <c r="F136" s="1">
        <v>16568</v>
      </c>
      <c r="G136" s="33">
        <v>53883</v>
      </c>
    </row>
    <row r="137" spans="2:7" x14ac:dyDescent="0.2">
      <c r="B137" s="3">
        <v>44306</v>
      </c>
      <c r="C137" s="33">
        <f t="shared" si="1"/>
        <v>2</v>
      </c>
      <c r="D137" s="1">
        <v>2446</v>
      </c>
      <c r="E137" s="1">
        <v>11084</v>
      </c>
      <c r="F137" s="1">
        <v>19342</v>
      </c>
      <c r="G137" s="33">
        <v>53302</v>
      </c>
    </row>
    <row r="138" spans="2:7" x14ac:dyDescent="0.2">
      <c r="B138" s="3">
        <v>44320</v>
      </c>
      <c r="C138" s="33">
        <f t="shared" si="1"/>
        <v>2</v>
      </c>
      <c r="D138" s="1">
        <v>1078</v>
      </c>
      <c r="E138" s="1">
        <v>9174</v>
      </c>
      <c r="F138" s="1">
        <v>17660</v>
      </c>
      <c r="G138" s="33">
        <v>52269</v>
      </c>
    </row>
    <row r="139" spans="2:7" x14ac:dyDescent="0.2">
      <c r="B139" s="3">
        <v>44334</v>
      </c>
      <c r="C139" s="33">
        <f t="shared" si="1"/>
        <v>2</v>
      </c>
      <c r="D139" s="1">
        <v>2423</v>
      </c>
      <c r="E139" s="1">
        <v>10435</v>
      </c>
      <c r="F139" s="1">
        <v>18463</v>
      </c>
      <c r="G139" s="33">
        <v>51214</v>
      </c>
    </row>
    <row r="140" spans="2:7" x14ac:dyDescent="0.2">
      <c r="B140" s="3">
        <v>44348</v>
      </c>
      <c r="C140" s="33">
        <f t="shared" si="1"/>
        <v>2</v>
      </c>
      <c r="D140" s="1">
        <v>821</v>
      </c>
      <c r="E140" s="1">
        <v>8336</v>
      </c>
      <c r="F140" s="1">
        <v>15928</v>
      </c>
      <c r="G140" s="33">
        <v>49894</v>
      </c>
    </row>
    <row r="141" spans="2:7" x14ac:dyDescent="0.2">
      <c r="B141" s="3">
        <v>44362</v>
      </c>
      <c r="C141" s="33">
        <f t="shared" si="1"/>
        <v>2</v>
      </c>
      <c r="D141" s="1">
        <v>2238</v>
      </c>
      <c r="E141" s="1">
        <v>10351</v>
      </c>
      <c r="F141" s="1">
        <v>17901</v>
      </c>
      <c r="G141" s="33">
        <v>49441</v>
      </c>
    </row>
    <row r="142" spans="2:7" x14ac:dyDescent="0.2">
      <c r="B142" s="3">
        <v>44376</v>
      </c>
      <c r="C142" s="33">
        <f t="shared" ref="C142:C182" si="2">WEEKDAY(B142,2)</f>
        <v>2</v>
      </c>
      <c r="D142" s="1">
        <v>2033</v>
      </c>
      <c r="E142" s="1">
        <v>9505</v>
      </c>
      <c r="F142" s="1">
        <v>16748</v>
      </c>
      <c r="G142" s="33">
        <v>47450</v>
      </c>
    </row>
    <row r="143" spans="2:7" x14ac:dyDescent="0.2">
      <c r="B143" s="3">
        <v>44390</v>
      </c>
      <c r="C143" s="33">
        <f t="shared" si="2"/>
        <v>2</v>
      </c>
      <c r="D143" s="1">
        <v>1904</v>
      </c>
      <c r="E143" s="1">
        <v>9305</v>
      </c>
      <c r="F143" s="1">
        <v>16357</v>
      </c>
      <c r="G143" s="33">
        <v>46669</v>
      </c>
    </row>
    <row r="144" spans="2:7" x14ac:dyDescent="0.2">
      <c r="B144" s="3">
        <v>44404</v>
      </c>
      <c r="C144" s="33">
        <f t="shared" si="2"/>
        <v>2</v>
      </c>
      <c r="D144" s="1">
        <v>1804</v>
      </c>
      <c r="E144" s="1">
        <v>8340</v>
      </c>
      <c r="F144" s="1">
        <v>14511</v>
      </c>
      <c r="G144" s="33">
        <v>43279</v>
      </c>
    </row>
    <row r="145" spans="2:7" x14ac:dyDescent="0.2">
      <c r="B145" s="3">
        <v>44419</v>
      </c>
      <c r="C145" s="33">
        <f t="shared" si="2"/>
        <v>3</v>
      </c>
      <c r="D145" s="1">
        <v>1591</v>
      </c>
      <c r="E145" s="1">
        <v>7286</v>
      </c>
      <c r="F145" s="1">
        <v>12526</v>
      </c>
      <c r="G145" s="33">
        <v>37828</v>
      </c>
    </row>
    <row r="146" spans="2:7" x14ac:dyDescent="0.2">
      <c r="B146" s="3">
        <v>44432</v>
      </c>
      <c r="C146" s="33">
        <f t="shared" si="2"/>
        <v>2</v>
      </c>
      <c r="D146" s="1">
        <v>1442</v>
      </c>
      <c r="E146" s="1">
        <v>6156</v>
      </c>
      <c r="F146" s="1">
        <v>10440</v>
      </c>
      <c r="G146" s="33">
        <v>32294</v>
      </c>
    </row>
    <row r="147" spans="2:7" x14ac:dyDescent="0.2">
      <c r="B147" s="3">
        <v>44446</v>
      </c>
      <c r="C147" s="33">
        <f t="shared" si="2"/>
        <v>2</v>
      </c>
      <c r="D147" s="1">
        <v>1445</v>
      </c>
      <c r="E147" s="1">
        <v>5931</v>
      </c>
      <c r="F147" s="1">
        <v>8670</v>
      </c>
      <c r="G147" s="33">
        <v>26737</v>
      </c>
    </row>
    <row r="148" spans="2:7" x14ac:dyDescent="0.2">
      <c r="B148" s="3">
        <v>44460</v>
      </c>
      <c r="C148" s="33">
        <f t="shared" si="2"/>
        <v>2</v>
      </c>
      <c r="D148" s="1">
        <v>1174</v>
      </c>
      <c r="E148" s="1">
        <v>4830</v>
      </c>
      <c r="F148" s="1">
        <v>8124</v>
      </c>
      <c r="G148" s="33">
        <v>22198</v>
      </c>
    </row>
    <row r="149" spans="2:7" x14ac:dyDescent="0.2">
      <c r="B149" s="3">
        <v>44474</v>
      </c>
      <c r="C149" s="33">
        <f t="shared" si="2"/>
        <v>2</v>
      </c>
      <c r="D149" s="1">
        <v>1109</v>
      </c>
      <c r="E149" s="1">
        <v>4621</v>
      </c>
      <c r="F149" s="1">
        <v>7367</v>
      </c>
      <c r="G149" s="33">
        <v>19578</v>
      </c>
    </row>
    <row r="150" spans="2:7" x14ac:dyDescent="0.2">
      <c r="B150" s="3">
        <v>44488</v>
      </c>
      <c r="C150" s="33">
        <f t="shared" si="2"/>
        <v>2</v>
      </c>
      <c r="D150" s="1">
        <v>1051</v>
      </c>
      <c r="E150" s="1">
        <v>4295</v>
      </c>
      <c r="F150" s="1">
        <v>7154</v>
      </c>
      <c r="G150" s="33">
        <v>17999</v>
      </c>
    </row>
    <row r="151" spans="2:7" x14ac:dyDescent="0.2">
      <c r="B151" s="3">
        <v>44502</v>
      </c>
      <c r="C151" s="33">
        <f t="shared" si="2"/>
        <v>2</v>
      </c>
      <c r="D151" s="1">
        <v>1017</v>
      </c>
      <c r="E151" s="1">
        <v>3940</v>
      </c>
      <c r="F151" s="1">
        <v>6556</v>
      </c>
      <c r="G151" s="33">
        <v>16769</v>
      </c>
    </row>
    <row r="152" spans="2:7" x14ac:dyDescent="0.2">
      <c r="B152" s="3">
        <v>44516</v>
      </c>
      <c r="C152" s="33">
        <f t="shared" si="2"/>
        <v>2</v>
      </c>
      <c r="D152" s="1">
        <v>1030</v>
      </c>
      <c r="E152" s="1">
        <v>4115</v>
      </c>
      <c r="F152" s="1">
        <v>6675</v>
      </c>
      <c r="G152" s="33">
        <v>16558</v>
      </c>
    </row>
    <row r="153" spans="2:7" x14ac:dyDescent="0.2">
      <c r="B153" s="3">
        <v>44530</v>
      </c>
      <c r="C153" s="33">
        <f t="shared" si="2"/>
        <v>2</v>
      </c>
      <c r="D153" s="1">
        <v>1043</v>
      </c>
      <c r="E153" s="1">
        <v>3966</v>
      </c>
      <c r="F153" s="1">
        <v>6572</v>
      </c>
      <c r="G153" s="33">
        <v>16502</v>
      </c>
    </row>
    <row r="154" spans="2:7" x14ac:dyDescent="0.2">
      <c r="B154" s="3">
        <v>44544</v>
      </c>
      <c r="C154" s="33">
        <f t="shared" si="2"/>
        <v>2</v>
      </c>
      <c r="D154" s="1">
        <v>995</v>
      </c>
      <c r="E154" s="1">
        <v>3830</v>
      </c>
      <c r="F154" s="1">
        <v>6418</v>
      </c>
      <c r="G154" s="33">
        <v>16613</v>
      </c>
    </row>
    <row r="155" spans="2:7" x14ac:dyDescent="0.2">
      <c r="B155" s="3">
        <v>44559</v>
      </c>
      <c r="C155" s="33">
        <f t="shared" si="2"/>
        <v>3</v>
      </c>
      <c r="D155" s="1">
        <v>160</v>
      </c>
      <c r="E155" s="1">
        <v>1630</v>
      </c>
      <c r="F155" s="1">
        <v>3960</v>
      </c>
      <c r="G155" s="33">
        <v>16330</v>
      </c>
    </row>
    <row r="156" spans="2:7" x14ac:dyDescent="0.2">
      <c r="B156" s="3">
        <v>44572</v>
      </c>
      <c r="C156" s="33">
        <f t="shared" si="2"/>
        <v>2</v>
      </c>
      <c r="D156" s="1">
        <v>1431</v>
      </c>
      <c r="E156" s="1">
        <v>5407</v>
      </c>
      <c r="F156" s="1">
        <v>6198</v>
      </c>
      <c r="G156" s="33">
        <v>17416</v>
      </c>
    </row>
    <row r="157" spans="2:7" x14ac:dyDescent="0.2">
      <c r="B157" s="3">
        <v>44586</v>
      </c>
      <c r="C157" s="33">
        <f t="shared" si="2"/>
        <v>2</v>
      </c>
      <c r="D157" s="1">
        <v>1067</v>
      </c>
      <c r="E157" s="1">
        <v>4658</v>
      </c>
      <c r="F157" s="1">
        <v>7806</v>
      </c>
      <c r="G157" s="33">
        <v>17581</v>
      </c>
    </row>
    <row r="158" spans="2:7" x14ac:dyDescent="0.2">
      <c r="B158" s="3">
        <v>44600</v>
      </c>
      <c r="C158" s="33">
        <f t="shared" si="2"/>
        <v>2</v>
      </c>
      <c r="D158" s="1">
        <v>1163</v>
      </c>
      <c r="E158" s="1">
        <v>4736</v>
      </c>
      <c r="F158" s="1">
        <v>7425</v>
      </c>
      <c r="G158" s="33">
        <v>17341</v>
      </c>
    </row>
    <row r="159" spans="2:7" x14ac:dyDescent="0.2">
      <c r="B159" s="3">
        <v>44614</v>
      </c>
      <c r="C159" s="33">
        <f t="shared" si="2"/>
        <v>2</v>
      </c>
      <c r="D159" s="1">
        <v>1100</v>
      </c>
      <c r="E159" s="1">
        <v>4460</v>
      </c>
      <c r="F159" s="1">
        <v>7204</v>
      </c>
      <c r="G159" s="33">
        <v>17481</v>
      </c>
    </row>
    <row r="160" spans="2:7" x14ac:dyDescent="0.2">
      <c r="B160" s="3">
        <v>44628</v>
      </c>
      <c r="C160" s="33">
        <f t="shared" si="2"/>
        <v>2</v>
      </c>
      <c r="D160" s="1">
        <v>1154</v>
      </c>
      <c r="E160" s="1">
        <v>4716</v>
      </c>
      <c r="F160" s="1">
        <v>7316</v>
      </c>
      <c r="G160" s="33">
        <v>17680</v>
      </c>
    </row>
    <row r="161" spans="2:7" x14ac:dyDescent="0.2">
      <c r="B161" s="3">
        <v>44642</v>
      </c>
      <c r="C161" s="33">
        <f t="shared" si="2"/>
        <v>2</v>
      </c>
      <c r="D161" s="1">
        <v>1243</v>
      </c>
      <c r="E161" s="1">
        <v>4724</v>
      </c>
      <c r="F161" s="1">
        <v>7656</v>
      </c>
      <c r="G161" s="33">
        <v>17899</v>
      </c>
    </row>
    <row r="162" spans="2:7" x14ac:dyDescent="0.2">
      <c r="B162" s="3">
        <v>44656</v>
      </c>
      <c r="C162" s="33">
        <f t="shared" si="2"/>
        <v>2</v>
      </c>
      <c r="D162" s="1">
        <v>1193</v>
      </c>
      <c r="E162" s="1">
        <v>4824</v>
      </c>
      <c r="F162" s="1">
        <v>7595</v>
      </c>
      <c r="G162" s="33">
        <v>17899</v>
      </c>
    </row>
    <row r="163" spans="2:7" x14ac:dyDescent="0.2">
      <c r="B163" s="3">
        <v>44670</v>
      </c>
      <c r="C163" s="33">
        <f t="shared" si="2"/>
        <v>2</v>
      </c>
      <c r="D163" s="1">
        <v>119</v>
      </c>
      <c r="E163" s="1">
        <v>3542</v>
      </c>
      <c r="F163" s="1">
        <v>6934</v>
      </c>
      <c r="G163" s="33">
        <v>18447</v>
      </c>
    </row>
    <row r="164" spans="2:7" x14ac:dyDescent="0.2">
      <c r="B164" s="3">
        <v>44684</v>
      </c>
      <c r="C164" s="33">
        <f t="shared" si="2"/>
        <v>2</v>
      </c>
      <c r="D164" s="1">
        <v>397</v>
      </c>
      <c r="E164" s="1">
        <v>4333</v>
      </c>
      <c r="F164" s="1">
        <v>7825</v>
      </c>
      <c r="G164" s="33">
        <v>19058</v>
      </c>
    </row>
    <row r="165" spans="2:7" x14ac:dyDescent="0.2">
      <c r="B165" s="3">
        <v>44698</v>
      </c>
      <c r="C165" s="33">
        <f t="shared" si="2"/>
        <v>2</v>
      </c>
      <c r="D165" s="1">
        <v>1399</v>
      </c>
      <c r="E165" s="1">
        <v>5396</v>
      </c>
      <c r="F165" s="1">
        <v>8984</v>
      </c>
      <c r="G165" s="33">
        <v>20159</v>
      </c>
    </row>
    <row r="166" spans="2:7" x14ac:dyDescent="0.2">
      <c r="B166" s="3">
        <v>44712</v>
      </c>
      <c r="C166" s="33">
        <f t="shared" si="2"/>
        <v>2</v>
      </c>
      <c r="D166" s="1">
        <v>1318</v>
      </c>
      <c r="E166" s="1">
        <v>5332</v>
      </c>
      <c r="F166" s="1">
        <v>8864</v>
      </c>
      <c r="G166" s="33">
        <v>20805</v>
      </c>
    </row>
    <row r="167" spans="2:7" x14ac:dyDescent="0.2">
      <c r="B167" s="3">
        <v>44726</v>
      </c>
      <c r="C167" s="33">
        <f t="shared" si="2"/>
        <v>2</v>
      </c>
      <c r="D167" s="1">
        <v>1446</v>
      </c>
      <c r="E167" s="1">
        <v>6027</v>
      </c>
      <c r="F167" s="1">
        <v>8761</v>
      </c>
      <c r="G167" s="33">
        <v>21656</v>
      </c>
    </row>
    <row r="168" spans="2:7" x14ac:dyDescent="0.2">
      <c r="B168" s="3">
        <v>44740</v>
      </c>
      <c r="C168" s="33">
        <f t="shared" si="2"/>
        <v>2</v>
      </c>
      <c r="D168" s="1">
        <v>1424</v>
      </c>
      <c r="E168" s="1">
        <v>5704</v>
      </c>
      <c r="F168" s="1">
        <v>9432</v>
      </c>
      <c r="G168" s="33">
        <v>21842</v>
      </c>
    </row>
    <row r="169" spans="2:7" x14ac:dyDescent="0.2">
      <c r="B169" s="3">
        <v>44754</v>
      </c>
      <c r="C169" s="33">
        <f t="shared" si="2"/>
        <v>2</v>
      </c>
      <c r="D169" s="1">
        <v>1501</v>
      </c>
      <c r="E169" s="1">
        <v>5862</v>
      </c>
      <c r="F169" s="1">
        <v>9284</v>
      </c>
      <c r="G169" s="33">
        <v>21493</v>
      </c>
    </row>
    <row r="170" spans="2:7" x14ac:dyDescent="0.2">
      <c r="B170" s="3">
        <v>44768</v>
      </c>
      <c r="C170" s="33">
        <f t="shared" si="2"/>
        <v>2</v>
      </c>
      <c r="D170" s="1">
        <v>1379</v>
      </c>
      <c r="E170" s="1">
        <v>5350</v>
      </c>
      <c r="F170" s="1">
        <v>8614</v>
      </c>
      <c r="G170" s="33">
        <v>20450</v>
      </c>
    </row>
    <row r="171" spans="2:7" x14ac:dyDescent="0.2">
      <c r="B171" s="3">
        <v>44782</v>
      </c>
      <c r="C171" s="33">
        <f t="shared" si="2"/>
        <v>2</v>
      </c>
      <c r="D171" s="1">
        <v>1497</v>
      </c>
      <c r="E171" s="1">
        <v>5112</v>
      </c>
      <c r="F171" s="1">
        <v>8083</v>
      </c>
      <c r="G171" s="33">
        <v>18992</v>
      </c>
    </row>
    <row r="172" spans="2:7" x14ac:dyDescent="0.2">
      <c r="B172" s="36">
        <v>44796</v>
      </c>
      <c r="C172" s="37">
        <f t="shared" si="2"/>
        <v>2</v>
      </c>
      <c r="D172" s="38">
        <v>1098</v>
      </c>
      <c r="E172" s="38">
        <v>4128</v>
      </c>
      <c r="F172" s="38">
        <v>6718</v>
      </c>
      <c r="G172" s="37">
        <v>17058</v>
      </c>
    </row>
    <row r="173" spans="2:7" x14ac:dyDescent="0.2">
      <c r="B173" s="3">
        <v>44810</v>
      </c>
      <c r="C173" s="33">
        <f t="shared" si="2"/>
        <v>2</v>
      </c>
      <c r="D173" s="1">
        <v>1181</v>
      </c>
      <c r="E173" s="1">
        <v>4085</v>
      </c>
      <c r="F173" s="1">
        <v>5808</v>
      </c>
      <c r="G173" s="33">
        <v>15443</v>
      </c>
    </row>
    <row r="174" spans="2:7" x14ac:dyDescent="0.2">
      <c r="B174" s="3">
        <v>44824</v>
      </c>
      <c r="C174" s="33">
        <f t="shared" si="2"/>
        <v>2</v>
      </c>
      <c r="D174" s="1">
        <v>289</v>
      </c>
      <c r="E174" s="1">
        <v>3135</v>
      </c>
      <c r="F174" s="1">
        <v>5379</v>
      </c>
      <c r="G174" s="33">
        <v>14024</v>
      </c>
    </row>
    <row r="175" spans="2:7" x14ac:dyDescent="0.2">
      <c r="B175" s="3">
        <v>44838</v>
      </c>
      <c r="C175" s="33">
        <f t="shared" si="2"/>
        <v>2</v>
      </c>
      <c r="D175" s="1">
        <v>973</v>
      </c>
      <c r="E175" s="1">
        <v>3524</v>
      </c>
      <c r="F175" s="1">
        <v>5587</v>
      </c>
      <c r="G175" s="33">
        <v>13019</v>
      </c>
    </row>
    <row r="176" spans="2:7" x14ac:dyDescent="0.2">
      <c r="B176" s="3">
        <v>44853</v>
      </c>
      <c r="C176" s="33">
        <f t="shared" si="2"/>
        <v>3</v>
      </c>
      <c r="D176" s="1">
        <v>986</v>
      </c>
      <c r="E176" s="1">
        <v>3972</v>
      </c>
      <c r="F176" s="1">
        <v>6185</v>
      </c>
      <c r="G176" s="33">
        <v>13662</v>
      </c>
    </row>
    <row r="177" spans="2:7" x14ac:dyDescent="0.2">
      <c r="B177" s="3">
        <v>44866</v>
      </c>
      <c r="C177" s="33">
        <f t="shared" si="2"/>
        <v>2</v>
      </c>
      <c r="D177" s="1">
        <v>1160</v>
      </c>
      <c r="E177" s="1">
        <v>4132</v>
      </c>
      <c r="F177" s="1">
        <v>6624</v>
      </c>
      <c r="G177" s="33">
        <v>14234</v>
      </c>
    </row>
    <row r="178" spans="2:7" x14ac:dyDescent="0.2">
      <c r="B178" s="3">
        <v>44880</v>
      </c>
      <c r="C178" s="33">
        <f t="shared" si="2"/>
        <v>2</v>
      </c>
      <c r="D178" s="1">
        <v>1171</v>
      </c>
      <c r="E178" s="1">
        <v>4657</v>
      </c>
      <c r="F178" s="1">
        <v>7531</v>
      </c>
      <c r="G178" s="33">
        <v>15607</v>
      </c>
    </row>
    <row r="179" spans="2:7" x14ac:dyDescent="0.2">
      <c r="B179" s="3">
        <v>44894</v>
      </c>
      <c r="C179" s="33">
        <f t="shared" si="2"/>
        <v>2</v>
      </c>
      <c r="D179" s="1">
        <v>1179</v>
      </c>
      <c r="E179" s="1">
        <v>4673</v>
      </c>
      <c r="F179" s="1">
        <v>7655</v>
      </c>
      <c r="G179" s="33">
        <v>16551</v>
      </c>
    </row>
    <row r="180" spans="2:7" x14ac:dyDescent="0.2">
      <c r="B180" s="3">
        <v>44908</v>
      </c>
      <c r="C180" s="33">
        <f t="shared" si="2"/>
        <v>2</v>
      </c>
      <c r="D180" s="1">
        <v>873</v>
      </c>
      <c r="E180" s="1">
        <v>4373</v>
      </c>
      <c r="F180" s="1">
        <v>7401</v>
      </c>
      <c r="G180" s="33">
        <v>17289</v>
      </c>
    </row>
    <row r="181" spans="2:7" x14ac:dyDescent="0.2">
      <c r="B181" s="3">
        <v>44925</v>
      </c>
      <c r="C181" s="33">
        <f t="shared" si="2"/>
        <v>5</v>
      </c>
      <c r="D181" s="1">
        <v>311</v>
      </c>
      <c r="E181" s="1">
        <v>1143</v>
      </c>
      <c r="F181" s="1">
        <v>4035</v>
      </c>
      <c r="G181" s="33">
        <v>17140</v>
      </c>
    </row>
    <row r="182" spans="2:7" x14ac:dyDescent="0.2">
      <c r="B182" s="3">
        <v>44936</v>
      </c>
      <c r="C182" s="33">
        <f t="shared" si="2"/>
        <v>2</v>
      </c>
      <c r="D182" s="1">
        <v>1430</v>
      </c>
      <c r="E182" s="1">
        <v>5972</v>
      </c>
      <c r="F182" s="1">
        <v>6615</v>
      </c>
      <c r="G182" s="33">
        <v>18361</v>
      </c>
    </row>
    <row r="183" spans="2:7" x14ac:dyDescent="0.2">
      <c r="B183" s="3">
        <v>44950</v>
      </c>
      <c r="C183" s="33">
        <f>WEEKDAY(B183,2)</f>
        <v>2</v>
      </c>
      <c r="D183" s="1">
        <v>1222</v>
      </c>
      <c r="E183" s="1">
        <v>5075</v>
      </c>
      <c r="F183" s="1">
        <v>8245</v>
      </c>
      <c r="G183" s="33">
        <v>18293</v>
      </c>
    </row>
    <row r="184" spans="2:7" x14ac:dyDescent="0.2">
      <c r="B184" s="3">
        <v>44964</v>
      </c>
      <c r="C184" s="33">
        <f>WEEKDAY(B184,2)</f>
        <v>2</v>
      </c>
      <c r="D184" s="1">
        <v>1431</v>
      </c>
      <c r="E184" s="1">
        <v>5216</v>
      </c>
      <c r="F184" s="1">
        <v>8223</v>
      </c>
      <c r="G184" s="33">
        <v>18546</v>
      </c>
    </row>
    <row r="185" spans="2:7" x14ac:dyDescent="0.2">
      <c r="B185" s="3">
        <v>44978</v>
      </c>
      <c r="C185" s="33">
        <f>WEEKDAY(B185,2)</f>
        <v>2</v>
      </c>
      <c r="D185" s="1">
        <v>1233</v>
      </c>
      <c r="E185" s="1">
        <v>5004</v>
      </c>
      <c r="F185" s="1">
        <v>8299</v>
      </c>
      <c r="G185" s="33">
        <v>19001</v>
      </c>
    </row>
    <row r="186" spans="2:7" x14ac:dyDescent="0.2">
      <c r="B186" s="3">
        <v>44992</v>
      </c>
      <c r="C186" s="33">
        <f t="shared" ref="C186:C249" si="3">WEEKDAY(B186,2)</f>
        <v>2</v>
      </c>
      <c r="D186" s="1">
        <v>1412</v>
      </c>
      <c r="E186" s="1">
        <v>5470</v>
      </c>
      <c r="F186" s="1">
        <v>8805</v>
      </c>
      <c r="G186" s="33">
        <v>19656</v>
      </c>
    </row>
    <row r="187" spans="2:7" x14ac:dyDescent="0.2">
      <c r="B187" s="3">
        <v>45006</v>
      </c>
      <c r="C187" s="33">
        <f t="shared" si="3"/>
        <v>2</v>
      </c>
      <c r="D187" s="1">
        <v>1281</v>
      </c>
      <c r="E187" s="1">
        <v>5248</v>
      </c>
      <c r="F187" s="1">
        <v>8503</v>
      </c>
      <c r="G187" s="1">
        <v>20039</v>
      </c>
    </row>
    <row r="188" spans="2:7" x14ac:dyDescent="0.2">
      <c r="B188" s="3">
        <v>45020</v>
      </c>
      <c r="C188" s="33">
        <f t="shared" si="3"/>
        <v>2</v>
      </c>
      <c r="D188" s="1">
        <v>1375</v>
      </c>
      <c r="E188" s="1">
        <v>5561</v>
      </c>
      <c r="F188" s="1">
        <v>8995</v>
      </c>
      <c r="G188" s="33">
        <v>20690</v>
      </c>
    </row>
    <row r="189" spans="2:7" x14ac:dyDescent="0.2">
      <c r="B189" s="3">
        <v>45034</v>
      </c>
      <c r="C189" s="33">
        <f t="shared" si="3"/>
        <v>2</v>
      </c>
      <c r="D189" s="1">
        <v>1433</v>
      </c>
      <c r="E189" s="1">
        <v>5872</v>
      </c>
      <c r="F189" s="1">
        <v>8378</v>
      </c>
      <c r="G189" s="33">
        <v>21354</v>
      </c>
    </row>
    <row r="190" spans="2:7" x14ac:dyDescent="0.2">
      <c r="B190" s="3">
        <v>45048</v>
      </c>
      <c r="C190" s="33">
        <f t="shared" si="3"/>
        <v>2</v>
      </c>
      <c r="D190" s="1">
        <v>268</v>
      </c>
      <c r="E190" s="1">
        <v>4771</v>
      </c>
      <c r="F190" s="1">
        <v>8910</v>
      </c>
      <c r="G190" s="33">
        <v>22202</v>
      </c>
    </row>
    <row r="191" spans="2:7" x14ac:dyDescent="0.2">
      <c r="B191" s="3">
        <v>45062</v>
      </c>
      <c r="C191" s="33">
        <f t="shared" si="3"/>
        <v>2</v>
      </c>
      <c r="D191" s="1">
        <v>1533</v>
      </c>
      <c r="E191" s="1">
        <v>6604</v>
      </c>
      <c r="F191" s="1">
        <v>10055</v>
      </c>
      <c r="G191" s="33">
        <v>23689</v>
      </c>
    </row>
    <row r="192" spans="2:7" x14ac:dyDescent="0.2">
      <c r="B192" s="3">
        <v>45076</v>
      </c>
      <c r="C192" s="33">
        <f t="shared" si="3"/>
        <v>2</v>
      </c>
      <c r="D192" s="1">
        <v>1230</v>
      </c>
      <c r="E192" s="1">
        <v>5294</v>
      </c>
      <c r="F192" s="1">
        <v>9804</v>
      </c>
      <c r="G192" s="33">
        <v>24303</v>
      </c>
    </row>
    <row r="193" spans="2:7" x14ac:dyDescent="0.2">
      <c r="B193" s="3">
        <v>45090</v>
      </c>
      <c r="C193" s="33">
        <f t="shared" si="3"/>
        <v>2</v>
      </c>
      <c r="D193" s="1">
        <v>1645</v>
      </c>
      <c r="E193" s="1">
        <v>6708</v>
      </c>
      <c r="F193" s="1">
        <v>10937</v>
      </c>
      <c r="G193" s="33">
        <v>25092</v>
      </c>
    </row>
    <row r="194" spans="2:7" x14ac:dyDescent="0.2">
      <c r="B194" s="3">
        <v>45104</v>
      </c>
      <c r="C194" s="33">
        <f t="shared" si="3"/>
        <v>2</v>
      </c>
      <c r="D194" s="1">
        <v>1708</v>
      </c>
      <c r="E194" s="1">
        <v>6700</v>
      </c>
      <c r="F194" s="1">
        <v>11010</v>
      </c>
      <c r="G194" s="33">
        <v>25718</v>
      </c>
    </row>
    <row r="195" spans="2:7" x14ac:dyDescent="0.2">
      <c r="B195" s="3">
        <v>45118</v>
      </c>
      <c r="C195" s="33">
        <f t="shared" si="3"/>
        <v>2</v>
      </c>
      <c r="D195" s="1">
        <v>1714</v>
      </c>
      <c r="E195" s="1">
        <v>7146</v>
      </c>
      <c r="F195" s="1">
        <v>11479</v>
      </c>
      <c r="G195" s="33">
        <v>26937</v>
      </c>
    </row>
    <row r="196" spans="2:7" x14ac:dyDescent="0.2">
      <c r="B196" s="3">
        <v>45132</v>
      </c>
      <c r="C196" s="33">
        <f t="shared" si="3"/>
        <v>2</v>
      </c>
      <c r="D196" s="1">
        <v>1565</v>
      </c>
      <c r="E196" s="1">
        <v>6875</v>
      </c>
      <c r="F196" s="1">
        <v>11323</v>
      </c>
      <c r="G196" s="33">
        <v>26588</v>
      </c>
    </row>
    <row r="197" spans="2:7" x14ac:dyDescent="0.2">
      <c r="B197" s="3">
        <v>45146</v>
      </c>
      <c r="C197" s="33">
        <f t="shared" si="3"/>
        <v>2</v>
      </c>
      <c r="D197" s="1">
        <v>1767</v>
      </c>
      <c r="E197" s="1">
        <v>6978</v>
      </c>
      <c r="F197" s="1">
        <v>11109</v>
      </c>
      <c r="G197" s="33">
        <v>26618</v>
      </c>
    </row>
    <row r="198" spans="2:7" x14ac:dyDescent="0.2">
      <c r="B198" s="3">
        <v>45160</v>
      </c>
      <c r="C198" s="33">
        <f t="shared" si="3"/>
        <v>2</v>
      </c>
      <c r="D198" s="1">
        <v>1645</v>
      </c>
      <c r="E198" s="1">
        <v>6422</v>
      </c>
      <c r="F198" s="1">
        <v>10633</v>
      </c>
      <c r="G198" s="33">
        <v>26219</v>
      </c>
    </row>
    <row r="199" spans="2:7" x14ac:dyDescent="0.2">
      <c r="B199" s="3">
        <v>45174</v>
      </c>
      <c r="C199" s="33">
        <f t="shared" si="3"/>
        <v>2</v>
      </c>
      <c r="D199" s="1">
        <v>1461</v>
      </c>
      <c r="E199" s="1">
        <v>6285</v>
      </c>
      <c r="F199" s="1">
        <v>9658</v>
      </c>
      <c r="G199" s="33">
        <v>24970</v>
      </c>
    </row>
    <row r="200" spans="2:7" x14ac:dyDescent="0.2">
      <c r="B200" s="3">
        <v>45188</v>
      </c>
      <c r="C200" s="33">
        <f t="shared" si="3"/>
        <v>2</v>
      </c>
      <c r="D200" s="1">
        <v>1613</v>
      </c>
      <c r="E200" s="1">
        <v>6729</v>
      </c>
      <c r="F200" s="1">
        <v>10866</v>
      </c>
      <c r="G200" s="33">
        <v>24870</v>
      </c>
    </row>
    <row r="201" spans="2:7" x14ac:dyDescent="0.2">
      <c r="B201" s="3">
        <v>45202</v>
      </c>
      <c r="C201" s="33">
        <f t="shared" si="3"/>
        <v>2</v>
      </c>
      <c r="D201" s="1">
        <v>1681</v>
      </c>
      <c r="E201" s="1">
        <v>6575</v>
      </c>
      <c r="F201" s="1">
        <v>10720</v>
      </c>
      <c r="G201" s="33">
        <v>24814</v>
      </c>
    </row>
    <row r="202" spans="2:7" x14ac:dyDescent="0.2">
      <c r="B202" s="3">
        <v>45216</v>
      </c>
      <c r="C202" s="33">
        <f t="shared" si="3"/>
        <v>2</v>
      </c>
      <c r="D202" s="1">
        <v>1759</v>
      </c>
      <c r="E202" s="1">
        <v>7405</v>
      </c>
      <c r="F202" s="1">
        <v>11696</v>
      </c>
      <c r="G202" s="33">
        <v>25543</v>
      </c>
    </row>
    <row r="203" spans="2:7" x14ac:dyDescent="0.2">
      <c r="B203" s="3">
        <v>45230</v>
      </c>
      <c r="C203" s="33">
        <f t="shared" si="3"/>
        <v>2</v>
      </c>
      <c r="D203" s="1">
        <v>1747</v>
      </c>
      <c r="E203" s="1">
        <v>6798</v>
      </c>
      <c r="F203" s="1">
        <v>11544</v>
      </c>
      <c r="G203" s="33">
        <v>25870</v>
      </c>
    </row>
    <row r="204" spans="2:7" x14ac:dyDescent="0.2">
      <c r="B204" s="3">
        <v>45244</v>
      </c>
      <c r="C204" s="33">
        <f t="shared" si="3"/>
        <v>2</v>
      </c>
      <c r="D204" s="1">
        <v>1705</v>
      </c>
      <c r="E204" s="1">
        <v>7060</v>
      </c>
      <c r="F204" s="1">
        <v>11912</v>
      </c>
      <c r="G204" s="33">
        <v>26456</v>
      </c>
    </row>
    <row r="205" spans="2:7" x14ac:dyDescent="0.2">
      <c r="B205" s="3">
        <v>45258</v>
      </c>
      <c r="C205" s="33">
        <f t="shared" si="3"/>
        <v>2</v>
      </c>
      <c r="D205" s="1">
        <v>1535</v>
      </c>
      <c r="E205" s="1">
        <v>6822</v>
      </c>
      <c r="F205" s="1">
        <v>11534</v>
      </c>
      <c r="G205" s="33">
        <v>26689</v>
      </c>
    </row>
    <row r="206" spans="2:7" x14ac:dyDescent="0.2">
      <c r="B206" s="3">
        <v>45273</v>
      </c>
      <c r="C206" s="33">
        <f t="shared" si="3"/>
        <v>3</v>
      </c>
      <c r="D206" s="1">
        <v>1070</v>
      </c>
      <c r="E206" s="1">
        <v>5588</v>
      </c>
      <c r="F206" s="1">
        <v>10351</v>
      </c>
      <c r="G206" s="33">
        <v>27035</v>
      </c>
    </row>
    <row r="207" spans="2:7" x14ac:dyDescent="0.2">
      <c r="B207" s="3">
        <v>45292</v>
      </c>
      <c r="C207" s="33">
        <f t="shared" si="3"/>
        <v>1</v>
      </c>
      <c r="D207" s="1">
        <v>104</v>
      </c>
      <c r="E207" s="1">
        <v>1433</v>
      </c>
      <c r="F207" s="1">
        <v>5608</v>
      </c>
      <c r="G207" s="33">
        <v>26882</v>
      </c>
    </row>
    <row r="208" spans="2:7" x14ac:dyDescent="0.2">
      <c r="B208" s="3">
        <v>45300</v>
      </c>
      <c r="C208" s="33">
        <f t="shared" si="3"/>
        <v>2</v>
      </c>
      <c r="D208" s="1">
        <v>1951</v>
      </c>
      <c r="E208" s="1">
        <v>8019</v>
      </c>
      <c r="F208" s="1">
        <v>9080</v>
      </c>
      <c r="G208" s="33">
        <v>28223</v>
      </c>
    </row>
    <row r="209" spans="2:7" x14ac:dyDescent="0.2">
      <c r="B209" s="3">
        <v>45314</v>
      </c>
      <c r="C209" s="33">
        <f t="shared" si="3"/>
        <v>2</v>
      </c>
      <c r="D209" s="1">
        <v>1643</v>
      </c>
      <c r="E209" s="1">
        <v>7254</v>
      </c>
      <c r="F209" s="1">
        <v>12266</v>
      </c>
      <c r="G209" s="33">
        <v>28526</v>
      </c>
    </row>
    <row r="210" spans="2:7" x14ac:dyDescent="0.2">
      <c r="B210" s="3">
        <v>45328</v>
      </c>
      <c r="C210" s="33">
        <f t="shared" si="3"/>
        <v>2</v>
      </c>
      <c r="D210" s="1">
        <v>1749</v>
      </c>
      <c r="E210" s="1">
        <v>7155</v>
      </c>
      <c r="F210" s="1">
        <v>11730</v>
      </c>
      <c r="G210" s="33">
        <v>28609</v>
      </c>
    </row>
    <row r="211" spans="2:7" x14ac:dyDescent="0.2">
      <c r="B211" s="3">
        <v>45342</v>
      </c>
      <c r="C211" s="33">
        <f t="shared" si="3"/>
        <v>2</v>
      </c>
      <c r="D211" s="1">
        <v>1826</v>
      </c>
      <c r="E211" s="1">
        <v>7219</v>
      </c>
      <c r="F211" s="1">
        <v>12062</v>
      </c>
      <c r="G211" s="33">
        <v>28819</v>
      </c>
    </row>
    <row r="212" spans="2:7" x14ac:dyDescent="0.2">
      <c r="B212" s="3">
        <v>45356</v>
      </c>
      <c r="C212" s="33">
        <f t="shared" si="3"/>
        <v>2</v>
      </c>
      <c r="D212" s="1">
        <v>1658</v>
      </c>
      <c r="E212" s="1">
        <v>7310</v>
      </c>
      <c r="F212" s="1">
        <v>12000</v>
      </c>
      <c r="G212" s="33">
        <v>28998</v>
      </c>
    </row>
    <row r="213" spans="2:7" x14ac:dyDescent="0.2">
      <c r="B213" s="3">
        <v>45370</v>
      </c>
      <c r="C213" s="33">
        <f t="shared" si="3"/>
        <v>2</v>
      </c>
      <c r="D213" s="1">
        <v>1742</v>
      </c>
      <c r="E213" s="1">
        <v>7341</v>
      </c>
      <c r="F213" s="1">
        <v>12177</v>
      </c>
      <c r="G213" s="33">
        <v>29218</v>
      </c>
    </row>
    <row r="214" spans="2:7" x14ac:dyDescent="0.2">
      <c r="B214" s="3">
        <v>45384</v>
      </c>
      <c r="C214" s="33">
        <f t="shared" si="3"/>
        <v>2</v>
      </c>
      <c r="D214" s="1">
        <v>577</v>
      </c>
      <c r="E214" s="1">
        <v>5232</v>
      </c>
      <c r="F214" s="1">
        <v>10543</v>
      </c>
      <c r="G214" s="33">
        <v>29003</v>
      </c>
    </row>
    <row r="215" spans="2:7" x14ac:dyDescent="0.2">
      <c r="B215" s="3">
        <v>45398</v>
      </c>
      <c r="C215" s="33">
        <f t="shared" si="3"/>
        <v>2</v>
      </c>
      <c r="D215" s="1">
        <v>1738</v>
      </c>
      <c r="E215" s="1">
        <v>2514</v>
      </c>
      <c r="F215" s="1">
        <v>12100</v>
      </c>
      <c r="G215" s="33">
        <v>29423</v>
      </c>
    </row>
    <row r="216" spans="2:7" x14ac:dyDescent="0.2">
      <c r="B216" s="3">
        <v>45426</v>
      </c>
      <c r="C216" s="33">
        <f t="shared" si="3"/>
        <v>2</v>
      </c>
      <c r="D216" s="1">
        <v>1921</v>
      </c>
      <c r="E216" s="1">
        <v>8009</v>
      </c>
      <c r="F216" s="1">
        <v>12323</v>
      </c>
      <c r="G216" s="33">
        <v>30779</v>
      </c>
    </row>
    <row r="217" spans="2:7" x14ac:dyDescent="0.2">
      <c r="B217" s="3">
        <v>45440</v>
      </c>
      <c r="C217" s="33">
        <f t="shared" si="3"/>
        <v>2</v>
      </c>
      <c r="D217" s="1">
        <v>325</v>
      </c>
      <c r="E217" s="1">
        <v>6011</v>
      </c>
      <c r="F217" s="1">
        <v>11765</v>
      </c>
      <c r="G217" s="33">
        <v>30517</v>
      </c>
    </row>
    <row r="218" spans="2:7" x14ac:dyDescent="0.2">
      <c r="B218" s="3">
        <v>45454</v>
      </c>
      <c r="C218" s="33">
        <f t="shared" si="3"/>
        <v>2</v>
      </c>
      <c r="D218" s="1">
        <v>1805</v>
      </c>
      <c r="E218" s="1">
        <v>7981</v>
      </c>
      <c r="F218" s="1">
        <v>13297</v>
      </c>
      <c r="G218" s="33">
        <v>32719</v>
      </c>
    </row>
    <row r="219" spans="2:7" x14ac:dyDescent="0.2">
      <c r="B219" s="3">
        <v>45468</v>
      </c>
      <c r="C219" s="33">
        <f t="shared" si="3"/>
        <v>2</v>
      </c>
      <c r="D219" s="1">
        <v>1847</v>
      </c>
      <c r="E219" s="1">
        <v>8204</v>
      </c>
      <c r="F219" s="1">
        <v>13694</v>
      </c>
      <c r="G219" s="33">
        <v>33843</v>
      </c>
    </row>
    <row r="220" spans="2:7" x14ac:dyDescent="0.2">
      <c r="B220" s="3">
        <v>45482</v>
      </c>
      <c r="C220" s="33">
        <f t="shared" si="3"/>
        <v>2</v>
      </c>
      <c r="D220" s="1">
        <v>2170</v>
      </c>
      <c r="E220" s="1">
        <v>8730</v>
      </c>
      <c r="F220" s="1">
        <v>14130</v>
      </c>
      <c r="G220" s="33">
        <v>34153</v>
      </c>
    </row>
    <row r="221" spans="2:7" x14ac:dyDescent="0.2">
      <c r="B221" s="3">
        <v>45496</v>
      </c>
      <c r="C221" s="33">
        <f t="shared" si="3"/>
        <v>2</v>
      </c>
      <c r="D221" s="1">
        <v>2003</v>
      </c>
      <c r="E221" s="1">
        <v>8114</v>
      </c>
      <c r="F221" s="1">
        <v>13945</v>
      </c>
      <c r="G221" s="33">
        <v>33760</v>
      </c>
    </row>
    <row r="222" spans="2:7" x14ac:dyDescent="0.2">
      <c r="B222" s="3">
        <v>45510</v>
      </c>
      <c r="C222" s="33">
        <f t="shared" si="3"/>
        <v>2</v>
      </c>
      <c r="D222" s="1">
        <v>1578</v>
      </c>
      <c r="E222" s="1">
        <v>7253</v>
      </c>
      <c r="F222" s="1">
        <v>12260</v>
      </c>
      <c r="G222" s="33">
        <v>32473</v>
      </c>
    </row>
    <row r="223" spans="2:7" x14ac:dyDescent="0.2">
      <c r="B223" s="3">
        <v>45524</v>
      </c>
      <c r="C223" s="33">
        <f t="shared" si="3"/>
        <v>2</v>
      </c>
      <c r="D223" s="1">
        <v>1744</v>
      </c>
      <c r="E223" s="1">
        <v>7418</v>
      </c>
      <c r="F223" s="1">
        <v>12862</v>
      </c>
      <c r="G223" s="33">
        <v>31966</v>
      </c>
    </row>
    <row r="224" spans="2:7" x14ac:dyDescent="0.2">
      <c r="B224" s="3">
        <v>45552</v>
      </c>
      <c r="C224" s="33">
        <f t="shared" si="3"/>
        <v>2</v>
      </c>
      <c r="D224" s="1">
        <v>1861</v>
      </c>
      <c r="E224" s="1">
        <v>7691</v>
      </c>
      <c r="F224" s="1">
        <v>12783</v>
      </c>
      <c r="G224" s="33">
        <v>29080</v>
      </c>
    </row>
    <row r="225" spans="2:7" x14ac:dyDescent="0.2">
      <c r="B225" s="3">
        <v>45566</v>
      </c>
      <c r="C225" s="33">
        <f t="shared" si="3"/>
        <v>2</v>
      </c>
      <c r="D225" s="1">
        <v>1728</v>
      </c>
      <c r="E225" s="1">
        <v>7408</v>
      </c>
      <c r="F225" s="1">
        <v>12374</v>
      </c>
      <c r="G225" s="33">
        <v>28632</v>
      </c>
    </row>
    <row r="226" spans="2:7" x14ac:dyDescent="0.2">
      <c r="B226" s="3">
        <v>45580</v>
      </c>
      <c r="C226" s="33">
        <f t="shared" si="3"/>
        <v>2</v>
      </c>
      <c r="D226" s="1">
        <v>1710</v>
      </c>
      <c r="E226" s="1">
        <v>7643</v>
      </c>
      <c r="F226" s="1">
        <v>12225</v>
      </c>
      <c r="G226" s="33">
        <v>27193</v>
      </c>
    </row>
    <row r="227" spans="2:7" x14ac:dyDescent="0.2">
      <c r="B227" s="3">
        <v>45594</v>
      </c>
      <c r="C227" s="33">
        <f t="shared" si="3"/>
        <v>2</v>
      </c>
      <c r="D227" s="1">
        <v>1853</v>
      </c>
      <c r="E227" s="1">
        <v>7887</v>
      </c>
      <c r="F227" s="1">
        <v>12574</v>
      </c>
      <c r="G227" s="33">
        <v>27883</v>
      </c>
    </row>
    <row r="228" spans="2:7" x14ac:dyDescent="0.2">
      <c r="B228" s="3">
        <v>45608</v>
      </c>
      <c r="C228" s="33">
        <f t="shared" si="3"/>
        <v>2</v>
      </c>
      <c r="D228" s="1">
        <v>1763</v>
      </c>
      <c r="E228" s="1">
        <v>7761</v>
      </c>
      <c r="F228" s="1">
        <v>12617</v>
      </c>
      <c r="G228" s="33">
        <v>28287</v>
      </c>
    </row>
    <row r="229" spans="2:7" x14ac:dyDescent="0.2">
      <c r="B229" s="3">
        <v>45622</v>
      </c>
      <c r="C229" s="33">
        <f t="shared" si="3"/>
        <v>2</v>
      </c>
      <c r="D229" s="1">
        <v>1478</v>
      </c>
      <c r="E229" s="1">
        <v>7010</v>
      </c>
      <c r="F229" s="1">
        <v>12094</v>
      </c>
      <c r="G229" s="33">
        <v>28525</v>
      </c>
    </row>
    <row r="230" spans="2:7" x14ac:dyDescent="0.2">
      <c r="B230" s="3">
        <v>45636</v>
      </c>
      <c r="C230" s="33">
        <f t="shared" si="3"/>
        <v>2</v>
      </c>
      <c r="D230" s="1">
        <v>1462</v>
      </c>
      <c r="E230" s="1">
        <v>6311</v>
      </c>
      <c r="F230" s="1">
        <v>10958</v>
      </c>
      <c r="G230" s="33">
        <v>28451</v>
      </c>
    </row>
    <row r="231" spans="2:7" x14ac:dyDescent="0.2">
      <c r="B231" s="3">
        <v>45650</v>
      </c>
      <c r="C231" s="33">
        <f t="shared" si="3"/>
        <v>2</v>
      </c>
      <c r="D231" s="1">
        <v>911</v>
      </c>
      <c r="E231" s="1">
        <v>4327</v>
      </c>
      <c r="F231" s="1">
        <v>8373</v>
      </c>
      <c r="G231" s="33">
        <v>27053</v>
      </c>
    </row>
    <row r="232" spans="2:7" x14ac:dyDescent="0.2">
      <c r="B232" s="3">
        <v>45664</v>
      </c>
      <c r="C232" s="33">
        <f t="shared" si="3"/>
        <v>2</v>
      </c>
      <c r="D232" s="1">
        <v>2147</v>
      </c>
      <c r="E232" s="1">
        <v>5803</v>
      </c>
      <c r="F232" s="1">
        <v>7288</v>
      </c>
      <c r="G232" s="33">
        <v>28503</v>
      </c>
    </row>
    <row r="233" spans="2:7" x14ac:dyDescent="0.2">
      <c r="B233" s="3">
        <v>45678</v>
      </c>
      <c r="C233" s="33">
        <f t="shared" si="3"/>
        <v>2</v>
      </c>
      <c r="D233" s="1">
        <v>906</v>
      </c>
      <c r="E233" s="1">
        <v>4867</v>
      </c>
      <c r="F233" s="1">
        <v>9117</v>
      </c>
      <c r="G233" s="33">
        <v>28745</v>
      </c>
    </row>
    <row r="234" spans="2:7" x14ac:dyDescent="0.2">
      <c r="B234" s="3">
        <v>45692</v>
      </c>
      <c r="C234" s="33">
        <f t="shared" si="3"/>
        <v>2</v>
      </c>
      <c r="D234" s="1">
        <v>1783</v>
      </c>
      <c r="E234" s="1">
        <v>6967</v>
      </c>
      <c r="F234" s="1">
        <v>11524</v>
      </c>
      <c r="G234" s="33">
        <v>28689</v>
      </c>
    </row>
    <row r="235" spans="2:7" x14ac:dyDescent="0.2">
      <c r="B235" s="3">
        <v>45706</v>
      </c>
      <c r="C235" s="33">
        <f t="shared" si="3"/>
        <v>2</v>
      </c>
      <c r="D235" s="1">
        <v>1783</v>
      </c>
      <c r="E235" s="1">
        <v>7195</v>
      </c>
      <c r="F235" s="1">
        <v>12258</v>
      </c>
      <c r="G235" s="33">
        <v>29447</v>
      </c>
    </row>
    <row r="236" spans="2:7" x14ac:dyDescent="0.2">
      <c r="B236" s="3">
        <v>45720</v>
      </c>
      <c r="C236" s="33">
        <f t="shared" si="3"/>
        <v>2</v>
      </c>
      <c r="D236" s="1">
        <v>1863</v>
      </c>
      <c r="E236" s="1">
        <v>7114</v>
      </c>
      <c r="F236" s="1">
        <v>11963</v>
      </c>
      <c r="G236" s="33">
        <v>26669</v>
      </c>
    </row>
    <row r="237" spans="2:7" x14ac:dyDescent="0.2">
      <c r="B237" s="3">
        <v>45783</v>
      </c>
      <c r="C237" s="33">
        <f t="shared" si="3"/>
        <v>2</v>
      </c>
      <c r="D237" s="1">
        <v>1782</v>
      </c>
      <c r="E237" s="1">
        <v>7863</v>
      </c>
      <c r="F237" s="1">
        <v>13024</v>
      </c>
      <c r="G237" s="33">
        <v>30372</v>
      </c>
    </row>
    <row r="238" spans="2:7" x14ac:dyDescent="0.2">
      <c r="B238" s="3">
        <v>45748</v>
      </c>
      <c r="C238" s="33">
        <f t="shared" si="3"/>
        <v>2</v>
      </c>
      <c r="D238" s="1">
        <v>1825</v>
      </c>
      <c r="E238" s="1">
        <v>7420</v>
      </c>
      <c r="F238" s="1">
        <v>12635</v>
      </c>
      <c r="G238" s="33">
        <v>30670</v>
      </c>
    </row>
    <row r="239" spans="2:7" x14ac:dyDescent="0.2">
      <c r="B239" s="3">
        <v>45762</v>
      </c>
      <c r="C239" s="33">
        <f t="shared" si="3"/>
        <v>2</v>
      </c>
      <c r="D239" s="1">
        <v>1795</v>
      </c>
      <c r="E239" s="1">
        <v>7628</v>
      </c>
      <c r="F239" s="1">
        <v>13028</v>
      </c>
      <c r="G239" s="33">
        <v>31287</v>
      </c>
    </row>
    <row r="240" spans="2:7" x14ac:dyDescent="0.2">
      <c r="B240" s="3">
        <v>45783</v>
      </c>
      <c r="C240" s="33">
        <f t="shared" si="3"/>
        <v>2</v>
      </c>
      <c r="D240" s="1">
        <v>1983</v>
      </c>
      <c r="E240" s="1">
        <v>7093</v>
      </c>
      <c r="F240" s="1">
        <v>13036</v>
      </c>
      <c r="G240" s="33">
        <v>32780</v>
      </c>
    </row>
    <row r="241" spans="2:7" x14ac:dyDescent="0.2">
      <c r="B241" s="3">
        <v>45790</v>
      </c>
      <c r="C241" s="33">
        <f t="shared" si="3"/>
        <v>2</v>
      </c>
      <c r="D241" s="1">
        <v>2068</v>
      </c>
      <c r="E241" s="1">
        <v>8860</v>
      </c>
      <c r="F241" s="1">
        <v>13492</v>
      </c>
      <c r="G241" s="33">
        <v>33300</v>
      </c>
    </row>
    <row r="242" spans="2:7" x14ac:dyDescent="0.2">
      <c r="B242" s="3">
        <v>45804</v>
      </c>
      <c r="C242" s="33">
        <f t="shared" si="3"/>
        <v>2</v>
      </c>
      <c r="D242" s="1">
        <v>474</v>
      </c>
      <c r="E242" s="1">
        <v>7158</v>
      </c>
      <c r="F242" s="1">
        <v>13295</v>
      </c>
      <c r="G242" s="33">
        <v>33838</v>
      </c>
    </row>
    <row r="243" spans="2:7" x14ac:dyDescent="0.2">
      <c r="B243" s="3">
        <v>45818</v>
      </c>
      <c r="C243" s="33">
        <f t="shared" si="3"/>
        <v>2</v>
      </c>
      <c r="D243" s="1">
        <v>2062</v>
      </c>
      <c r="E243" s="1">
        <v>8742</v>
      </c>
      <c r="F243" s="1">
        <v>14623</v>
      </c>
      <c r="G243" s="33">
        <v>34571</v>
      </c>
    </row>
    <row r="244" spans="2:7" x14ac:dyDescent="0.2">
      <c r="B244" s="3">
        <v>45832</v>
      </c>
      <c r="C244" s="33">
        <f t="shared" si="3"/>
        <v>2</v>
      </c>
      <c r="D244" s="1">
        <v>2018</v>
      </c>
      <c r="E244" s="1">
        <v>8815</v>
      </c>
      <c r="F244" s="1">
        <v>14821</v>
      </c>
      <c r="G244" s="33">
        <v>35701</v>
      </c>
    </row>
    <row r="245" spans="2:7" x14ac:dyDescent="0.2">
      <c r="B245" s="3">
        <v>45846</v>
      </c>
      <c r="C245" s="33">
        <f t="shared" si="3"/>
        <v>2</v>
      </c>
      <c r="D245" s="1">
        <v>2123</v>
      </c>
      <c r="E245" s="1">
        <v>8860</v>
      </c>
      <c r="F245" s="1">
        <v>14782</v>
      </c>
      <c r="G245" s="33">
        <v>36288</v>
      </c>
    </row>
    <row r="246" spans="2:7" x14ac:dyDescent="0.2">
      <c r="B246" s="3">
        <v>45860</v>
      </c>
      <c r="C246" s="33">
        <f t="shared" si="3"/>
        <v>2</v>
      </c>
      <c r="D246" s="1">
        <v>1990</v>
      </c>
      <c r="E246" s="1">
        <v>8743</v>
      </c>
      <c r="F246" s="1">
        <v>14601</v>
      </c>
      <c r="G246" s="33">
        <v>36871</v>
      </c>
    </row>
    <row r="247" spans="2:7" x14ac:dyDescent="0.2">
      <c r="B247" s="3">
        <v>45874</v>
      </c>
      <c r="C247" s="33">
        <f t="shared" si="3"/>
        <v>2</v>
      </c>
      <c r="D247" s="1">
        <v>1968</v>
      </c>
      <c r="E247" s="1">
        <v>8514</v>
      </c>
      <c r="F247" s="1">
        <v>14271</v>
      </c>
      <c r="G247" s="33">
        <v>35252</v>
      </c>
    </row>
    <row r="248" spans="2:7" x14ac:dyDescent="0.2">
      <c r="B248" s="3">
        <v>45888</v>
      </c>
      <c r="C248" s="33">
        <f t="shared" si="3"/>
        <v>2</v>
      </c>
      <c r="D248" s="1">
        <v>2073</v>
      </c>
      <c r="E248" s="1">
        <v>8121</v>
      </c>
      <c r="F248" s="1">
        <v>13498</v>
      </c>
      <c r="G248" s="33">
        <v>34228</v>
      </c>
    </row>
    <row r="249" spans="2:7" x14ac:dyDescent="0.2">
      <c r="B249" s="3">
        <v>45902</v>
      </c>
      <c r="C249" s="33">
        <f t="shared" si="3"/>
        <v>2</v>
      </c>
      <c r="D249" s="1">
        <v>1940</v>
      </c>
      <c r="E249" s="1">
        <v>7818</v>
      </c>
      <c r="F249" s="1">
        <v>11983</v>
      </c>
      <c r="G249" s="33">
        <v>31970</v>
      </c>
    </row>
    <row r="250" spans="2:7" x14ac:dyDescent="0.2">
      <c r="B250" s="3">
        <v>45916</v>
      </c>
      <c r="C250" s="33">
        <f>WEEKDAY(B250,2)</f>
        <v>2</v>
      </c>
      <c r="D250" s="1">
        <v>1850</v>
      </c>
      <c r="E250" s="1">
        <v>7745</v>
      </c>
      <c r="F250" s="1">
        <v>12973</v>
      </c>
      <c r="G250" s="33">
        <v>30312</v>
      </c>
    </row>
    <row r="251" spans="2:7" x14ac:dyDescent="0.2">
      <c r="B251" s="3">
        <v>45930</v>
      </c>
      <c r="C251" s="33">
        <v>2</v>
      </c>
      <c r="D251" s="1">
        <v>1828</v>
      </c>
      <c r="E251" s="1">
        <v>7629</v>
      </c>
      <c r="F251" s="1">
        <v>12567</v>
      </c>
      <c r="G251" s="33">
        <v>29404</v>
      </c>
    </row>
    <row r="252" spans="2:7" x14ac:dyDescent="0.2">
      <c r="B252" s="3">
        <v>45944</v>
      </c>
      <c r="C252" s="33">
        <f t="shared" ref="C252:C257" si="4">WEEKDAY(B252,2)</f>
        <v>2</v>
      </c>
      <c r="D252" s="1">
        <v>1978</v>
      </c>
      <c r="E252" s="1">
        <v>7962</v>
      </c>
      <c r="F252" s="1">
        <v>13088</v>
      </c>
      <c r="G252" s="33">
        <v>29297</v>
      </c>
    </row>
    <row r="253" spans="2:7" x14ac:dyDescent="0.2">
      <c r="B253" s="3">
        <v>45958</v>
      </c>
      <c r="C253" s="33">
        <f t="shared" si="4"/>
        <v>2</v>
      </c>
      <c r="D253" s="1">
        <v>1810</v>
      </c>
      <c r="E253" s="1">
        <v>7643</v>
      </c>
      <c r="F253" s="1">
        <v>13032</v>
      </c>
      <c r="G253" s="33">
        <v>30147</v>
      </c>
    </row>
    <row r="254" spans="2:7" x14ac:dyDescent="0.2">
      <c r="B254" s="3">
        <v>45986</v>
      </c>
      <c r="C254" s="33">
        <f t="shared" si="4"/>
        <v>2</v>
      </c>
      <c r="D254" s="1">
        <v>1680</v>
      </c>
      <c r="E254" s="1">
        <v>6964</v>
      </c>
      <c r="F254" s="1">
        <v>11882</v>
      </c>
      <c r="G254" s="33">
        <v>29329</v>
      </c>
    </row>
    <row r="255" spans="2:7" x14ac:dyDescent="0.2">
      <c r="B255" s="3">
        <v>46000</v>
      </c>
      <c r="C255" s="33">
        <f t="shared" si="4"/>
        <v>2</v>
      </c>
      <c r="D255" s="1">
        <v>1628</v>
      </c>
      <c r="E255" s="1">
        <v>6572</v>
      </c>
      <c r="F255" s="1">
        <v>11174</v>
      </c>
      <c r="G255" s="33">
        <v>29075</v>
      </c>
    </row>
    <row r="256" spans="2:7" x14ac:dyDescent="0.2">
      <c r="B256" s="3">
        <v>46021</v>
      </c>
      <c r="C256" s="33">
        <f t="shared" si="4"/>
        <v>2</v>
      </c>
      <c r="D256" s="1">
        <v>378</v>
      </c>
      <c r="E256" s="1">
        <v>2518</v>
      </c>
      <c r="F256" s="1">
        <v>6334</v>
      </c>
      <c r="G256" s="33">
        <v>28394</v>
      </c>
    </row>
    <row r="257" spans="2:7" x14ac:dyDescent="0.2">
      <c r="B257" s="3">
        <v>46028</v>
      </c>
      <c r="C257" s="33">
        <f t="shared" si="4"/>
        <v>2</v>
      </c>
      <c r="D257" s="1">
        <v>2163</v>
      </c>
      <c r="E257" s="1">
        <v>4450</v>
      </c>
      <c r="F257" s="1">
        <v>6534</v>
      </c>
      <c r="G257" s="33">
        <v>28546</v>
      </c>
    </row>
    <row r="258" spans="2:7" x14ac:dyDescent="0.2">
      <c r="B258" s="3">
        <v>46042</v>
      </c>
      <c r="C258" s="33">
        <f>WEEKDAY(B258,2)</f>
        <v>2</v>
      </c>
      <c r="D258" s="1">
        <v>1840</v>
      </c>
      <c r="E258" s="1">
        <v>7442</v>
      </c>
      <c r="F258" s="1">
        <v>12465</v>
      </c>
      <c r="G258" s="33">
        <v>28847</v>
      </c>
    </row>
    <row r="259" spans="2:7" x14ac:dyDescent="0.2">
      <c r="B259" s="3">
        <v>46056</v>
      </c>
      <c r="C259" s="33">
        <f>WEEKDAY(B259,2)</f>
        <v>2</v>
      </c>
      <c r="D259" s="1">
        <v>1888</v>
      </c>
      <c r="E259" s="1">
        <v>7134</v>
      </c>
      <c r="F259" s="1">
        <v>12026</v>
      </c>
      <c r="G259" s="33">
        <v>28795</v>
      </c>
    </row>
    <row r="260" spans="2:7" x14ac:dyDescent="0.2">
      <c r="B260" s="3">
        <v>46070</v>
      </c>
      <c r="C260" s="33">
        <f>WEEKDAY(B260,2)</f>
        <v>2</v>
      </c>
      <c r="D260" s="1">
        <v>1761</v>
      </c>
      <c r="E260" s="1">
        <v>7127</v>
      </c>
      <c r="F260" s="1">
        <v>11855</v>
      </c>
      <c r="G260" s="33">
        <v>29099</v>
      </c>
    </row>
    <row r="261" spans="2:7" x14ac:dyDescent="0.2">
      <c r="B261" s="176">
        <v>46084</v>
      </c>
      <c r="C261" s="33">
        <f>WEEKDAY(B261,2)</f>
        <v>2</v>
      </c>
      <c r="D261" s="1">
        <v>1782</v>
      </c>
      <c r="E261" s="1">
        <v>6971</v>
      </c>
      <c r="F261" s="1">
        <v>11269</v>
      </c>
      <c r="G261" s="33">
        <v>28684</v>
      </c>
    </row>
    <row r="262" spans="2:7" x14ac:dyDescent="0.2">
      <c r="B262" s="177">
        <v>46098</v>
      </c>
      <c r="C262" s="174">
        <v>2</v>
      </c>
      <c r="D262" s="175">
        <v>1814</v>
      </c>
      <c r="E262" s="175">
        <v>7084</v>
      </c>
      <c r="F262" s="175">
        <v>11717</v>
      </c>
      <c r="G262" s="174">
        <v>28798</v>
      </c>
    </row>
    <row r="263" spans="2:7" x14ac:dyDescent="0.2">
      <c r="B263" s="179">
        <v>46112</v>
      </c>
      <c r="C263" s="174">
        <v>2</v>
      </c>
      <c r="D263" s="175">
        <v>949</v>
      </c>
      <c r="E263" s="175">
        <v>6424</v>
      </c>
      <c r="F263" s="175">
        <v>10907</v>
      </c>
      <c r="G263" s="174">
        <v>28549</v>
      </c>
    </row>
    <row r="264" spans="2:7" x14ac:dyDescent="0.2">
      <c r="B264" s="177">
        <v>46126</v>
      </c>
      <c r="C264" s="174">
        <v>2</v>
      </c>
      <c r="D264" s="175">
        <v>1936</v>
      </c>
      <c r="E264" s="175">
        <v>7144</v>
      </c>
      <c r="F264" s="175">
        <v>10450</v>
      </c>
      <c r="G264" s="174">
        <v>29331</v>
      </c>
    </row>
    <row r="265" spans="2:7" x14ac:dyDescent="0.2">
      <c r="B265" s="176">
        <v>46140</v>
      </c>
      <c r="C265" s="174">
        <v>2</v>
      </c>
      <c r="D265" s="175">
        <v>1567</v>
      </c>
      <c r="E265" s="175">
        <v>6791</v>
      </c>
      <c r="F265" s="175">
        <v>11626</v>
      </c>
      <c r="G265" s="174">
        <v>29790</v>
      </c>
    </row>
  </sheetData>
  <mergeCells count="1">
    <mergeCell ref="D7:G7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404A-7DE3-4911-A45D-B84C0DBC08AC}">
  <dimension ref="B2:H251"/>
  <sheetViews>
    <sheetView zoomScale="138" zoomScaleNormal="100" workbookViewId="0">
      <selection activeCell="A2" sqref="A2:XFD5"/>
    </sheetView>
  </sheetViews>
  <sheetFormatPr baseColWidth="10" defaultColWidth="8.85546875" defaultRowHeight="16" x14ac:dyDescent="0.2"/>
  <cols>
    <col min="1" max="1" width="8.85546875" style="1"/>
    <col min="2" max="2" width="11.28515625" style="1" customWidth="1"/>
    <col min="3" max="16384" width="8.85546875" style="1"/>
  </cols>
  <sheetData>
    <row r="2" spans="2:8" x14ac:dyDescent="0.2">
      <c r="B2" s="1" t="s">
        <v>1</v>
      </c>
      <c r="C2" s="1" t="s">
        <v>541</v>
      </c>
    </row>
    <row r="3" spans="2:8" x14ac:dyDescent="0.2">
      <c r="B3" s="1" t="s">
        <v>85</v>
      </c>
      <c r="C3" s="7" t="s">
        <v>134</v>
      </c>
    </row>
    <row r="4" spans="2:8" x14ac:dyDescent="0.2">
      <c r="B4" s="1" t="s">
        <v>87</v>
      </c>
      <c r="C4" s="1" t="s">
        <v>534</v>
      </c>
    </row>
    <row r="5" spans="2:8" x14ac:dyDescent="0.2">
      <c r="B5" s="1" t="s">
        <v>89</v>
      </c>
    </row>
    <row r="7" spans="2:8" x14ac:dyDescent="0.2">
      <c r="B7" s="44" t="s">
        <v>542</v>
      </c>
      <c r="C7" s="206">
        <v>1</v>
      </c>
      <c r="D7" s="207"/>
      <c r="E7" s="206">
        <v>2</v>
      </c>
      <c r="F7" s="207"/>
      <c r="G7" s="206">
        <v>3</v>
      </c>
      <c r="H7" s="207"/>
    </row>
    <row r="8" spans="2:8" x14ac:dyDescent="0.2">
      <c r="B8" s="45" t="s">
        <v>543</v>
      </c>
      <c r="C8" s="46" t="s">
        <v>544</v>
      </c>
      <c r="D8" s="47" t="s">
        <v>545</v>
      </c>
      <c r="E8" s="46" t="s">
        <v>546</v>
      </c>
      <c r="F8" s="47" t="s">
        <v>547</v>
      </c>
      <c r="G8" s="46" t="s">
        <v>548</v>
      </c>
      <c r="H8" s="47" t="s">
        <v>549</v>
      </c>
    </row>
    <row r="9" spans="2:8" x14ac:dyDescent="0.2">
      <c r="B9" s="3">
        <v>43915.447916666664</v>
      </c>
      <c r="C9" s="48">
        <v>835</v>
      </c>
      <c r="D9" s="49"/>
      <c r="E9" s="48">
        <v>3435</v>
      </c>
      <c r="F9" s="49"/>
      <c r="G9" s="48">
        <v>1669</v>
      </c>
      <c r="H9" s="49"/>
    </row>
    <row r="10" spans="2:8" x14ac:dyDescent="0.2">
      <c r="B10" s="3">
        <v>43920.563888888886</v>
      </c>
      <c r="C10" s="48">
        <v>823</v>
      </c>
      <c r="D10" s="49">
        <v>5030</v>
      </c>
      <c r="E10" s="48">
        <v>3371</v>
      </c>
      <c r="F10" s="49">
        <v>5934</v>
      </c>
      <c r="G10" s="48">
        <v>1636</v>
      </c>
      <c r="H10" s="49">
        <v>3739</v>
      </c>
    </row>
    <row r="11" spans="2:8" x14ac:dyDescent="0.2">
      <c r="B11" s="3">
        <v>43921.470833333333</v>
      </c>
      <c r="C11" s="48">
        <v>840</v>
      </c>
      <c r="D11" s="49">
        <v>5073</v>
      </c>
      <c r="E11" s="48">
        <v>3382</v>
      </c>
      <c r="F11" s="49">
        <v>5945</v>
      </c>
      <c r="G11" s="48">
        <v>1634</v>
      </c>
      <c r="H11" s="49">
        <v>3733</v>
      </c>
    </row>
    <row r="12" spans="2:8" x14ac:dyDescent="0.2">
      <c r="B12" s="3">
        <v>43922.387499999997</v>
      </c>
      <c r="C12" s="48">
        <v>838</v>
      </c>
      <c r="D12" s="49">
        <v>5073</v>
      </c>
      <c r="E12" s="48">
        <v>3378</v>
      </c>
      <c r="F12" s="49">
        <v>5935</v>
      </c>
      <c r="G12" s="48">
        <v>1640</v>
      </c>
      <c r="H12" s="49">
        <v>3753</v>
      </c>
    </row>
    <row r="13" spans="2:8" x14ac:dyDescent="0.2">
      <c r="B13" s="3">
        <v>43923.652777777781</v>
      </c>
      <c r="C13" s="48">
        <v>843</v>
      </c>
      <c r="D13" s="49">
        <v>5080</v>
      </c>
      <c r="E13" s="48">
        <v>3419</v>
      </c>
      <c r="F13" s="49">
        <v>6000</v>
      </c>
      <c r="G13" s="48">
        <v>1650</v>
      </c>
      <c r="H13" s="49">
        <v>3781</v>
      </c>
    </row>
    <row r="14" spans="2:8" x14ac:dyDescent="0.2">
      <c r="B14" s="3">
        <v>43924.354166666664</v>
      </c>
      <c r="C14" s="48">
        <v>850</v>
      </c>
      <c r="D14" s="49">
        <v>5060</v>
      </c>
      <c r="E14" s="48">
        <v>3423</v>
      </c>
      <c r="F14" s="49">
        <v>5994</v>
      </c>
      <c r="G14" s="48">
        <v>1649</v>
      </c>
      <c r="H14" s="49">
        <v>3784</v>
      </c>
    </row>
    <row r="15" spans="2:8" x14ac:dyDescent="0.2">
      <c r="B15" s="3">
        <v>43926.579861111109</v>
      </c>
      <c r="C15" s="48">
        <v>874</v>
      </c>
      <c r="D15" s="49">
        <v>5129</v>
      </c>
      <c r="E15" s="48">
        <v>3458</v>
      </c>
      <c r="F15" s="49">
        <v>6065</v>
      </c>
      <c r="G15" s="48">
        <v>1664</v>
      </c>
      <c r="H15" s="49">
        <v>3816</v>
      </c>
    </row>
    <row r="16" spans="2:8" x14ac:dyDescent="0.2">
      <c r="B16" s="3">
        <v>43927.569444444445</v>
      </c>
      <c r="C16" s="48">
        <v>873</v>
      </c>
      <c r="D16" s="49">
        <v>5106</v>
      </c>
      <c r="E16" s="48">
        <v>3469</v>
      </c>
      <c r="F16" s="49">
        <v>6078</v>
      </c>
      <c r="G16" s="48">
        <v>1655</v>
      </c>
      <c r="H16" s="49">
        <v>3811</v>
      </c>
    </row>
    <row r="17" spans="2:8" x14ac:dyDescent="0.2">
      <c r="B17" s="3">
        <v>43928.538194444445</v>
      </c>
      <c r="C17" s="48">
        <v>869</v>
      </c>
      <c r="D17" s="49">
        <v>5124</v>
      </c>
      <c r="E17" s="48">
        <v>3483</v>
      </c>
      <c r="F17" s="49">
        <v>6098</v>
      </c>
      <c r="G17" s="48">
        <v>1655</v>
      </c>
      <c r="H17" s="49">
        <v>3830</v>
      </c>
    </row>
    <row r="18" spans="2:8" x14ac:dyDescent="0.2">
      <c r="B18" s="3">
        <v>43929.673611111109</v>
      </c>
      <c r="C18" s="48">
        <v>862</v>
      </c>
      <c r="D18" s="49">
        <v>5180</v>
      </c>
      <c r="E18" s="48">
        <v>3518</v>
      </c>
      <c r="F18" s="49">
        <v>6155</v>
      </c>
      <c r="G18" s="48">
        <v>1666</v>
      </c>
      <c r="H18" s="49">
        <v>3868</v>
      </c>
    </row>
    <row r="19" spans="2:8" x14ac:dyDescent="0.2">
      <c r="B19" s="3">
        <v>43930.503472222219</v>
      </c>
      <c r="C19" s="48">
        <v>856</v>
      </c>
      <c r="D19" s="49">
        <v>5215</v>
      </c>
      <c r="E19" s="48">
        <v>3522</v>
      </c>
      <c r="F19" s="49">
        <v>6165</v>
      </c>
      <c r="G19" s="48">
        <v>1657</v>
      </c>
      <c r="H19" s="49">
        <v>3871</v>
      </c>
    </row>
    <row r="20" spans="2:8" x14ac:dyDescent="0.2">
      <c r="B20" s="3">
        <v>43934.791666666664</v>
      </c>
      <c r="C20" s="48">
        <v>863</v>
      </c>
      <c r="D20" s="49">
        <v>5296</v>
      </c>
      <c r="E20" s="48">
        <v>3552</v>
      </c>
      <c r="F20" s="49">
        <v>6204</v>
      </c>
      <c r="G20" s="48">
        <v>1663</v>
      </c>
      <c r="H20" s="49">
        <v>3883</v>
      </c>
    </row>
    <row r="21" spans="2:8" x14ac:dyDescent="0.2">
      <c r="B21" s="3">
        <v>43935.510416666664</v>
      </c>
      <c r="C21" s="48">
        <v>863</v>
      </c>
      <c r="D21" s="49">
        <v>5294</v>
      </c>
      <c r="E21" s="48">
        <v>3554</v>
      </c>
      <c r="F21" s="49">
        <v>6207</v>
      </c>
      <c r="G21" s="48">
        <v>1662</v>
      </c>
      <c r="H21" s="49">
        <v>3884</v>
      </c>
    </row>
    <row r="22" spans="2:8" x14ac:dyDescent="0.2">
      <c r="B22" s="3">
        <v>43936.510416666664</v>
      </c>
      <c r="C22" s="48">
        <v>885</v>
      </c>
      <c r="D22" s="49">
        <v>5382</v>
      </c>
      <c r="E22" s="48">
        <v>3590</v>
      </c>
      <c r="F22" s="49">
        <v>6262</v>
      </c>
      <c r="G22" s="48">
        <v>1676</v>
      </c>
      <c r="H22" s="49">
        <v>3921</v>
      </c>
    </row>
    <row r="23" spans="2:8" x14ac:dyDescent="0.2">
      <c r="B23" s="3">
        <v>43937.506249999999</v>
      </c>
      <c r="C23" s="48">
        <v>865</v>
      </c>
      <c r="D23" s="49">
        <v>5349</v>
      </c>
      <c r="E23" s="48">
        <v>3613</v>
      </c>
      <c r="F23" s="49">
        <v>6326</v>
      </c>
      <c r="G23" s="48">
        <v>1676</v>
      </c>
      <c r="H23" s="49">
        <v>3945</v>
      </c>
    </row>
    <row r="24" spans="2:8" x14ac:dyDescent="0.2">
      <c r="B24" s="3">
        <v>43938.506249942133</v>
      </c>
      <c r="C24" s="48">
        <v>871</v>
      </c>
      <c r="D24" s="49">
        <v>5418</v>
      </c>
      <c r="E24" s="48">
        <v>3641</v>
      </c>
      <c r="F24" s="49">
        <v>6363</v>
      </c>
      <c r="G24" s="48">
        <v>1685</v>
      </c>
      <c r="H24" s="49">
        <v>3979</v>
      </c>
    </row>
    <row r="25" spans="2:8" x14ac:dyDescent="0.2">
      <c r="B25" s="3">
        <v>43940.365277777775</v>
      </c>
      <c r="C25" s="48">
        <v>868</v>
      </c>
      <c r="D25" s="49">
        <v>5468</v>
      </c>
      <c r="E25" s="48">
        <v>3676</v>
      </c>
      <c r="F25" s="49">
        <v>6419</v>
      </c>
      <c r="G25" s="48">
        <v>1710</v>
      </c>
      <c r="H25" s="49">
        <v>4037</v>
      </c>
    </row>
    <row r="26" spans="2:8" x14ac:dyDescent="0.2">
      <c r="B26" s="3">
        <v>43940.506944444445</v>
      </c>
      <c r="C26" s="48">
        <v>869</v>
      </c>
      <c r="D26" s="49">
        <v>5468</v>
      </c>
      <c r="E26" s="48">
        <v>3676</v>
      </c>
      <c r="F26" s="49">
        <v>6420</v>
      </c>
      <c r="G26" s="48">
        <v>1708</v>
      </c>
      <c r="H26" s="49">
        <v>4033</v>
      </c>
    </row>
    <row r="27" spans="2:8" x14ac:dyDescent="0.2">
      <c r="B27" s="3">
        <v>43941.504861111112</v>
      </c>
      <c r="C27" s="48">
        <v>871</v>
      </c>
      <c r="D27" s="49">
        <v>5470</v>
      </c>
      <c r="E27" s="48">
        <v>3679</v>
      </c>
      <c r="F27" s="49">
        <v>6432</v>
      </c>
      <c r="G27" s="48">
        <v>1707</v>
      </c>
      <c r="H27" s="49">
        <v>4028</v>
      </c>
    </row>
    <row r="28" spans="2:8" x14ac:dyDescent="0.2">
      <c r="B28" s="3">
        <v>43942.504861111112</v>
      </c>
      <c r="C28" s="48">
        <v>875</v>
      </c>
      <c r="D28" s="49">
        <v>5546</v>
      </c>
      <c r="E28" s="48">
        <v>3667</v>
      </c>
      <c r="F28" s="49">
        <v>6494</v>
      </c>
      <c r="G28" s="48">
        <v>1729</v>
      </c>
      <c r="H28" s="49">
        <v>4080</v>
      </c>
    </row>
    <row r="29" spans="2:8" x14ac:dyDescent="0.2">
      <c r="B29" s="3">
        <v>43943.501388888886</v>
      </c>
      <c r="C29" s="48">
        <v>869</v>
      </c>
      <c r="D29" s="49">
        <v>5550</v>
      </c>
      <c r="E29" s="48">
        <v>3681</v>
      </c>
      <c r="F29" s="49">
        <v>6526</v>
      </c>
      <c r="G29" s="48">
        <v>1740</v>
      </c>
      <c r="H29" s="49">
        <v>4115</v>
      </c>
    </row>
    <row r="30" spans="2:8" x14ac:dyDescent="0.2">
      <c r="B30" s="3">
        <v>43944.505555555559</v>
      </c>
      <c r="C30" s="48">
        <v>864</v>
      </c>
      <c r="D30" s="49">
        <v>5589</v>
      </c>
      <c r="E30" s="48">
        <v>3713</v>
      </c>
      <c r="F30" s="49">
        <v>6565</v>
      </c>
      <c r="G30" s="48">
        <v>1729</v>
      </c>
      <c r="H30" s="49">
        <v>4147</v>
      </c>
    </row>
    <row r="31" spans="2:8" x14ac:dyDescent="0.2">
      <c r="B31" s="3">
        <v>43945.501388888886</v>
      </c>
      <c r="C31" s="48">
        <v>870</v>
      </c>
      <c r="D31" s="49">
        <v>5671</v>
      </c>
      <c r="E31" s="48">
        <v>3743</v>
      </c>
      <c r="F31" s="49">
        <v>6627</v>
      </c>
      <c r="G31" s="48">
        <v>1750</v>
      </c>
      <c r="H31" s="49">
        <v>4190</v>
      </c>
    </row>
    <row r="32" spans="2:8" x14ac:dyDescent="0.2">
      <c r="B32" s="3">
        <v>43948.504166666666</v>
      </c>
      <c r="C32" s="48">
        <v>877</v>
      </c>
      <c r="D32" s="49">
        <v>5714</v>
      </c>
      <c r="E32" s="48">
        <v>3788</v>
      </c>
      <c r="F32" s="49">
        <v>6691</v>
      </c>
      <c r="G32" s="48">
        <v>1757</v>
      </c>
      <c r="H32" s="49">
        <v>4229</v>
      </c>
    </row>
    <row r="33" spans="2:8" x14ac:dyDescent="0.2">
      <c r="B33" s="3">
        <v>43949.504166666666</v>
      </c>
      <c r="C33" s="48">
        <v>869</v>
      </c>
      <c r="D33" s="49">
        <v>5740</v>
      </c>
      <c r="E33" s="48">
        <v>3809</v>
      </c>
      <c r="F33" s="49">
        <v>6732</v>
      </c>
      <c r="G33" s="48">
        <v>1776</v>
      </c>
      <c r="H33" s="49">
        <v>4276</v>
      </c>
    </row>
    <row r="34" spans="2:8" x14ac:dyDescent="0.2">
      <c r="B34" s="3">
        <v>43950.502083333333</v>
      </c>
      <c r="C34" s="48">
        <v>869</v>
      </c>
      <c r="D34" s="49">
        <v>5783</v>
      </c>
      <c r="E34" s="48">
        <v>3819</v>
      </c>
      <c r="F34" s="49">
        <v>6768</v>
      </c>
      <c r="G34" s="48">
        <v>1792</v>
      </c>
      <c r="H34" s="49">
        <v>4322</v>
      </c>
    </row>
    <row r="35" spans="2:8" x14ac:dyDescent="0.2">
      <c r="B35" s="3">
        <v>43951.503472222219</v>
      </c>
      <c r="C35" s="48">
        <v>872</v>
      </c>
      <c r="D35" s="49">
        <v>5813</v>
      </c>
      <c r="E35" s="48">
        <v>3841</v>
      </c>
      <c r="F35" s="49">
        <v>6833</v>
      </c>
      <c r="G35" s="48">
        <v>1792</v>
      </c>
      <c r="H35" s="49">
        <v>4362</v>
      </c>
    </row>
    <row r="36" spans="2:8" x14ac:dyDescent="0.2">
      <c r="B36" s="3">
        <v>43952.504166666666</v>
      </c>
      <c r="C36" s="48">
        <v>866</v>
      </c>
      <c r="D36" s="49">
        <v>5868</v>
      </c>
      <c r="E36" s="48">
        <v>3886</v>
      </c>
      <c r="F36" s="49">
        <v>6911</v>
      </c>
      <c r="G36" s="48">
        <v>1812</v>
      </c>
      <c r="H36" s="49">
        <v>4402</v>
      </c>
    </row>
    <row r="37" spans="2:8" x14ac:dyDescent="0.2">
      <c r="B37" s="3">
        <v>43955.505555555559</v>
      </c>
      <c r="C37" s="5">
        <v>863</v>
      </c>
      <c r="D37" s="5">
        <v>5887</v>
      </c>
      <c r="E37" s="5">
        <v>3881</v>
      </c>
      <c r="F37" s="5">
        <v>6946</v>
      </c>
      <c r="G37" s="5">
        <v>1820</v>
      </c>
      <c r="H37" s="5">
        <v>4440</v>
      </c>
    </row>
    <row r="38" spans="2:8" x14ac:dyDescent="0.2">
      <c r="B38" s="3">
        <v>43956.504166666666</v>
      </c>
      <c r="C38" s="5">
        <v>857</v>
      </c>
      <c r="D38" s="5">
        <v>5969</v>
      </c>
      <c r="E38" s="5">
        <v>3903</v>
      </c>
      <c r="F38" s="5">
        <v>6982</v>
      </c>
      <c r="G38" s="5">
        <v>1819</v>
      </c>
      <c r="H38" s="5">
        <v>4481</v>
      </c>
    </row>
    <row r="39" spans="2:8" x14ac:dyDescent="0.2">
      <c r="B39" s="3">
        <v>43957.505555555559</v>
      </c>
      <c r="C39" s="5">
        <v>869</v>
      </c>
      <c r="D39" s="5">
        <v>6012</v>
      </c>
      <c r="E39" s="5">
        <v>3956</v>
      </c>
      <c r="F39" s="5">
        <v>7082</v>
      </c>
      <c r="G39" s="5">
        <v>1823</v>
      </c>
      <c r="H39" s="5">
        <v>4550</v>
      </c>
    </row>
    <row r="40" spans="2:8" x14ac:dyDescent="0.2">
      <c r="B40" s="3">
        <v>43958.50277777778</v>
      </c>
      <c r="C40" s="5">
        <v>895</v>
      </c>
      <c r="D40" s="5">
        <v>6072</v>
      </c>
      <c r="E40" s="5">
        <v>3992</v>
      </c>
      <c r="F40" s="5">
        <v>7180</v>
      </c>
      <c r="G40" s="5">
        <v>1839</v>
      </c>
      <c r="H40" s="5">
        <v>4598</v>
      </c>
    </row>
    <row r="41" spans="2:8" x14ac:dyDescent="0.2">
      <c r="B41" s="3">
        <v>43962.504166666666</v>
      </c>
      <c r="C41" s="5">
        <v>891</v>
      </c>
      <c r="D41" s="5">
        <v>6109</v>
      </c>
      <c r="E41" s="5">
        <v>4043</v>
      </c>
      <c r="F41" s="5">
        <v>7242</v>
      </c>
      <c r="G41" s="5">
        <v>1853</v>
      </c>
      <c r="H41" s="5">
        <v>4650</v>
      </c>
    </row>
    <row r="42" spans="2:8" x14ac:dyDescent="0.2">
      <c r="B42" s="3">
        <v>43963.507638888892</v>
      </c>
      <c r="C42" s="1">
        <v>885</v>
      </c>
      <c r="D42" s="5">
        <v>6113</v>
      </c>
      <c r="E42" s="1">
        <v>4076</v>
      </c>
      <c r="F42" s="1">
        <v>7314</v>
      </c>
      <c r="G42" s="1">
        <v>1878</v>
      </c>
      <c r="H42" s="1">
        <v>4649</v>
      </c>
    </row>
    <row r="43" spans="2:8" x14ac:dyDescent="0.2">
      <c r="B43" s="3">
        <v>43964.504861111112</v>
      </c>
      <c r="C43" s="1">
        <v>884</v>
      </c>
      <c r="D43" s="5">
        <v>6163</v>
      </c>
      <c r="E43" s="1">
        <v>4129</v>
      </c>
      <c r="F43" s="1">
        <v>7389</v>
      </c>
      <c r="G43" s="1">
        <v>1899</v>
      </c>
      <c r="H43" s="1">
        <v>4694</v>
      </c>
    </row>
    <row r="44" spans="2:8" x14ac:dyDescent="0.2">
      <c r="B44" s="3">
        <v>43965.506249999999</v>
      </c>
      <c r="C44" s="1">
        <v>900</v>
      </c>
      <c r="D44" s="5">
        <v>6307</v>
      </c>
      <c r="E44" s="5">
        <v>4183</v>
      </c>
      <c r="F44" s="5">
        <v>7540</v>
      </c>
      <c r="G44" s="5">
        <v>1915</v>
      </c>
      <c r="H44" s="5">
        <v>4776</v>
      </c>
    </row>
    <row r="45" spans="2:8" x14ac:dyDescent="0.2">
      <c r="B45" s="3">
        <v>43966.509722222225</v>
      </c>
      <c r="C45" s="1">
        <v>924</v>
      </c>
      <c r="D45" s="5">
        <v>6436</v>
      </c>
      <c r="E45" s="5">
        <v>4254</v>
      </c>
      <c r="F45" s="5">
        <v>7673</v>
      </c>
      <c r="G45" s="5">
        <v>1938</v>
      </c>
      <c r="H45" s="5">
        <v>4832</v>
      </c>
    </row>
    <row r="46" spans="2:8" x14ac:dyDescent="0.2">
      <c r="B46" s="3">
        <v>43969.50277777778</v>
      </c>
      <c r="C46" s="1">
        <v>883</v>
      </c>
      <c r="D46" s="5">
        <v>6330</v>
      </c>
      <c r="E46" s="5">
        <v>4151</v>
      </c>
      <c r="F46" s="5">
        <v>7590</v>
      </c>
      <c r="G46" s="5">
        <v>1859</v>
      </c>
      <c r="H46" s="5">
        <v>4785</v>
      </c>
    </row>
    <row r="47" spans="2:8" x14ac:dyDescent="0.2">
      <c r="B47" s="3">
        <v>43970.507638888892</v>
      </c>
      <c r="C47" s="1">
        <v>888</v>
      </c>
      <c r="D47" s="5">
        <v>6375</v>
      </c>
      <c r="E47" s="5">
        <v>4191</v>
      </c>
      <c r="F47" s="5">
        <v>7662</v>
      </c>
      <c r="G47" s="5">
        <v>1884</v>
      </c>
      <c r="H47" s="5">
        <v>4874</v>
      </c>
    </row>
    <row r="48" spans="2:8" x14ac:dyDescent="0.2">
      <c r="B48" s="3">
        <v>43971.506249999999</v>
      </c>
      <c r="C48" s="1">
        <v>910</v>
      </c>
      <c r="D48" s="5">
        <v>6450</v>
      </c>
      <c r="E48" s="5">
        <v>4232</v>
      </c>
      <c r="F48" s="5">
        <v>7740</v>
      </c>
      <c r="G48" s="5">
        <v>1851</v>
      </c>
      <c r="H48" s="5">
        <v>4921</v>
      </c>
    </row>
    <row r="49" spans="2:8" x14ac:dyDescent="0.2">
      <c r="B49" s="3">
        <v>43972.504166666666</v>
      </c>
      <c r="C49" s="1">
        <v>904</v>
      </c>
      <c r="D49" s="5">
        <v>6519</v>
      </c>
      <c r="E49" s="5">
        <v>4291</v>
      </c>
      <c r="F49" s="5">
        <v>7855</v>
      </c>
      <c r="G49" s="5">
        <v>1864</v>
      </c>
      <c r="H49" s="5">
        <v>5004</v>
      </c>
    </row>
    <row r="50" spans="2:8" x14ac:dyDescent="0.2">
      <c r="B50" s="3">
        <v>43973.506249999999</v>
      </c>
      <c r="C50" s="1">
        <v>912</v>
      </c>
      <c r="D50" s="5">
        <v>6626</v>
      </c>
      <c r="E50" s="5">
        <v>4308</v>
      </c>
      <c r="F50" s="5">
        <v>7965</v>
      </c>
      <c r="G50" s="5">
        <v>1867</v>
      </c>
      <c r="H50" s="5">
        <v>5061</v>
      </c>
    </row>
    <row r="51" spans="2:8" x14ac:dyDescent="0.2">
      <c r="B51" s="3">
        <v>43977.505555555559</v>
      </c>
      <c r="C51" s="1">
        <v>927</v>
      </c>
      <c r="D51" s="5">
        <v>6698</v>
      </c>
      <c r="E51" s="5">
        <v>4330</v>
      </c>
      <c r="F51" s="5">
        <v>8106</v>
      </c>
      <c r="G51" s="5">
        <v>1875</v>
      </c>
      <c r="H51" s="5">
        <v>5159</v>
      </c>
    </row>
    <row r="52" spans="2:8" x14ac:dyDescent="0.2">
      <c r="B52" s="3">
        <v>43978.504166666666</v>
      </c>
      <c r="C52" s="1">
        <v>915</v>
      </c>
      <c r="D52" s="5">
        <v>6770</v>
      </c>
      <c r="E52" s="5">
        <v>4336</v>
      </c>
      <c r="F52" s="5">
        <v>8167</v>
      </c>
      <c r="G52" s="5">
        <v>1887</v>
      </c>
      <c r="H52" s="5">
        <v>5218</v>
      </c>
    </row>
    <row r="53" spans="2:8" x14ac:dyDescent="0.2">
      <c r="B53" s="3">
        <v>43979.504861111112</v>
      </c>
      <c r="C53" s="1">
        <v>919</v>
      </c>
      <c r="D53" s="5">
        <v>6821</v>
      </c>
      <c r="E53" s="5">
        <v>4393</v>
      </c>
      <c r="F53" s="5">
        <v>8280</v>
      </c>
      <c r="G53" s="5">
        <v>1907</v>
      </c>
      <c r="H53" s="5">
        <v>5280</v>
      </c>
    </row>
    <row r="54" spans="2:8" x14ac:dyDescent="0.2">
      <c r="B54" s="3">
        <v>43980.508333333331</v>
      </c>
      <c r="C54" s="1">
        <v>917</v>
      </c>
      <c r="D54" s="5">
        <v>6880</v>
      </c>
      <c r="E54" s="5">
        <v>4442</v>
      </c>
      <c r="F54" s="5">
        <v>8379</v>
      </c>
      <c r="G54" s="5">
        <v>1901</v>
      </c>
      <c r="H54" s="5">
        <v>5327</v>
      </c>
    </row>
    <row r="55" spans="2:8" x14ac:dyDescent="0.2">
      <c r="B55" s="3">
        <v>43983.504166666666</v>
      </c>
      <c r="C55" s="1">
        <v>911</v>
      </c>
      <c r="D55" s="5">
        <v>6883</v>
      </c>
      <c r="E55" s="5">
        <v>4397</v>
      </c>
      <c r="F55" s="5">
        <v>8331</v>
      </c>
      <c r="G55" s="5">
        <v>1892</v>
      </c>
      <c r="H55" s="5">
        <v>5347</v>
      </c>
    </row>
    <row r="56" spans="2:8" x14ac:dyDescent="0.2">
      <c r="B56" s="3">
        <v>43984.50277777778</v>
      </c>
      <c r="C56" s="1">
        <v>929</v>
      </c>
      <c r="D56" s="5">
        <v>7026</v>
      </c>
      <c r="E56" s="5">
        <v>4429</v>
      </c>
      <c r="F56" s="5">
        <v>8408</v>
      </c>
      <c r="G56" s="5">
        <v>1910</v>
      </c>
      <c r="H56" s="5">
        <v>5442</v>
      </c>
    </row>
    <row r="57" spans="2:8" x14ac:dyDescent="0.2">
      <c r="B57" s="3">
        <v>43985.503472222219</v>
      </c>
      <c r="C57" s="1">
        <v>935</v>
      </c>
      <c r="D57" s="5">
        <v>7165</v>
      </c>
      <c r="E57" s="5">
        <v>4504</v>
      </c>
      <c r="F57" s="5">
        <v>8540</v>
      </c>
      <c r="G57" s="5">
        <v>1930</v>
      </c>
      <c r="H57" s="5">
        <v>5539</v>
      </c>
    </row>
    <row r="58" spans="2:8" x14ac:dyDescent="0.2">
      <c r="B58" s="3">
        <v>43987.504166666666</v>
      </c>
      <c r="C58" s="1">
        <v>955</v>
      </c>
      <c r="D58" s="5">
        <v>7368</v>
      </c>
      <c r="E58" s="5">
        <v>4594</v>
      </c>
      <c r="F58" s="5">
        <v>8719</v>
      </c>
      <c r="G58" s="5">
        <v>1952</v>
      </c>
      <c r="H58" s="5">
        <v>5707</v>
      </c>
    </row>
    <row r="59" spans="2:8" x14ac:dyDescent="0.2">
      <c r="B59" s="3">
        <v>43990.507638888892</v>
      </c>
      <c r="C59" s="1">
        <v>959</v>
      </c>
      <c r="D59" s="5">
        <v>7429</v>
      </c>
      <c r="E59" s="5">
        <v>4632</v>
      </c>
      <c r="F59" s="5">
        <v>8829</v>
      </c>
      <c r="G59" s="5">
        <v>1947</v>
      </c>
      <c r="H59" s="5">
        <v>5744</v>
      </c>
    </row>
    <row r="60" spans="2:8" x14ac:dyDescent="0.2">
      <c r="B60" s="3">
        <v>43991.509722222225</v>
      </c>
      <c r="C60" s="1">
        <v>960</v>
      </c>
      <c r="D60" s="5">
        <v>7564</v>
      </c>
      <c r="E60" s="5">
        <v>4686</v>
      </c>
      <c r="F60" s="5">
        <v>8921</v>
      </c>
      <c r="G60" s="5">
        <v>1935</v>
      </c>
      <c r="H60" s="5">
        <v>5779</v>
      </c>
    </row>
    <row r="61" spans="2:8" x14ac:dyDescent="0.2">
      <c r="B61" s="3">
        <v>43992.509027777778</v>
      </c>
      <c r="C61" s="1">
        <v>962</v>
      </c>
      <c r="D61" s="5">
        <v>7655</v>
      </c>
      <c r="E61" s="5">
        <v>4761</v>
      </c>
      <c r="F61" s="5">
        <v>9063</v>
      </c>
      <c r="G61" s="5">
        <v>1964</v>
      </c>
      <c r="H61" s="5">
        <v>5871</v>
      </c>
    </row>
    <row r="62" spans="2:8" x14ac:dyDescent="0.2">
      <c r="B62" s="3">
        <v>43993.509722222225</v>
      </c>
      <c r="C62" s="1">
        <v>960</v>
      </c>
      <c r="D62" s="5">
        <v>7744</v>
      </c>
      <c r="E62" s="5">
        <v>4825</v>
      </c>
      <c r="F62" s="5">
        <v>9176</v>
      </c>
      <c r="G62" s="5">
        <v>1977</v>
      </c>
      <c r="H62" s="5">
        <v>6085</v>
      </c>
    </row>
    <row r="63" spans="2:8" x14ac:dyDescent="0.2">
      <c r="B63" s="3">
        <v>43994.506944444445</v>
      </c>
      <c r="C63" s="1">
        <v>961</v>
      </c>
      <c r="D63" s="5">
        <v>7757</v>
      </c>
      <c r="E63" s="5">
        <v>4835</v>
      </c>
      <c r="F63" s="5">
        <v>9219</v>
      </c>
      <c r="G63" s="5">
        <v>1971</v>
      </c>
      <c r="H63" s="5">
        <v>5970</v>
      </c>
    </row>
    <row r="64" spans="2:8" x14ac:dyDescent="0.2">
      <c r="B64" s="3">
        <v>43997.517361111109</v>
      </c>
      <c r="C64" s="1">
        <v>977</v>
      </c>
      <c r="D64" s="5">
        <v>7798</v>
      </c>
      <c r="E64" s="5">
        <v>4834</v>
      </c>
      <c r="F64" s="5">
        <v>9232</v>
      </c>
      <c r="G64" s="5">
        <v>2010</v>
      </c>
      <c r="H64" s="5">
        <v>6036</v>
      </c>
    </row>
    <row r="65" spans="2:8" x14ac:dyDescent="0.2">
      <c r="B65" s="3">
        <v>43998.507638888892</v>
      </c>
      <c r="C65" s="1">
        <v>962</v>
      </c>
      <c r="D65" s="5">
        <v>7886</v>
      </c>
      <c r="E65" s="5">
        <v>4873</v>
      </c>
      <c r="F65" s="5">
        <v>9296</v>
      </c>
      <c r="G65" s="5">
        <v>2016</v>
      </c>
      <c r="H65" s="5">
        <v>6086</v>
      </c>
    </row>
    <row r="66" spans="2:8" x14ac:dyDescent="0.2">
      <c r="B66" s="3">
        <v>43999.508333333331</v>
      </c>
      <c r="C66" s="1">
        <v>971</v>
      </c>
      <c r="D66" s="5">
        <v>7901</v>
      </c>
      <c r="E66" s="5">
        <v>4900</v>
      </c>
      <c r="F66" s="5">
        <v>9337</v>
      </c>
      <c r="G66" s="5">
        <v>2031</v>
      </c>
      <c r="H66" s="5">
        <v>6117</v>
      </c>
    </row>
    <row r="67" spans="2:8" x14ac:dyDescent="0.2">
      <c r="B67" s="3">
        <v>44000.507638888892</v>
      </c>
      <c r="C67" s="1">
        <v>983</v>
      </c>
      <c r="D67" s="5">
        <v>8010</v>
      </c>
      <c r="E67" s="5">
        <v>4939</v>
      </c>
      <c r="F67" s="5">
        <v>9422</v>
      </c>
      <c r="G67" s="5">
        <v>2034</v>
      </c>
      <c r="H67" s="5">
        <v>6194</v>
      </c>
    </row>
    <row r="68" spans="2:8" x14ac:dyDescent="0.2">
      <c r="B68" s="3">
        <v>44001.5</v>
      </c>
      <c r="C68" s="1">
        <v>978</v>
      </c>
      <c r="D68" s="5">
        <v>8081</v>
      </c>
      <c r="E68" s="5">
        <v>4932</v>
      </c>
      <c r="F68" s="5">
        <v>9450</v>
      </c>
      <c r="G68" s="5">
        <v>2023</v>
      </c>
      <c r="H68" s="5">
        <v>6253</v>
      </c>
    </row>
    <row r="69" spans="2:8" x14ac:dyDescent="0.2">
      <c r="B69" s="3">
        <v>44004.5</v>
      </c>
      <c r="C69" s="1">
        <v>955</v>
      </c>
      <c r="D69" s="5">
        <v>8095</v>
      </c>
      <c r="E69" s="5">
        <v>4921</v>
      </c>
      <c r="F69" s="5">
        <v>9447</v>
      </c>
      <c r="G69" s="5">
        <v>1990</v>
      </c>
      <c r="H69" s="5">
        <v>6251</v>
      </c>
    </row>
    <row r="70" spans="2:8" x14ac:dyDescent="0.2">
      <c r="B70" s="3">
        <v>44005.509722222225</v>
      </c>
      <c r="C70" s="1">
        <v>980</v>
      </c>
      <c r="D70" s="5">
        <v>8209</v>
      </c>
      <c r="E70" s="5">
        <v>4995</v>
      </c>
      <c r="F70" s="5">
        <v>9522</v>
      </c>
      <c r="G70" s="5">
        <v>1976</v>
      </c>
      <c r="H70" s="5">
        <v>6254</v>
      </c>
    </row>
    <row r="71" spans="2:8" x14ac:dyDescent="0.2">
      <c r="B71" s="3">
        <v>44006.506944444445</v>
      </c>
      <c r="C71" s="1">
        <v>970</v>
      </c>
      <c r="D71" s="5">
        <v>8240</v>
      </c>
      <c r="E71" s="5">
        <v>5016</v>
      </c>
      <c r="F71" s="5">
        <v>9601</v>
      </c>
      <c r="G71" s="5">
        <v>1971</v>
      </c>
      <c r="H71" s="5">
        <v>6280</v>
      </c>
    </row>
    <row r="72" spans="2:8" x14ac:dyDescent="0.2">
      <c r="B72" s="3">
        <v>44007.509722222225</v>
      </c>
      <c r="C72" s="1">
        <v>985</v>
      </c>
      <c r="D72" s="5">
        <v>8313</v>
      </c>
      <c r="E72" s="5">
        <v>5072</v>
      </c>
      <c r="F72" s="5">
        <v>9696</v>
      </c>
      <c r="G72" s="5">
        <v>1976</v>
      </c>
      <c r="H72" s="5">
        <v>6354</v>
      </c>
    </row>
    <row r="73" spans="2:8" x14ac:dyDescent="0.2">
      <c r="B73" s="3">
        <v>44011.505555555559</v>
      </c>
      <c r="C73" s="1">
        <v>980</v>
      </c>
      <c r="D73" s="5">
        <v>8378</v>
      </c>
      <c r="E73" s="5">
        <v>5124</v>
      </c>
      <c r="F73" s="5">
        <v>9838</v>
      </c>
      <c r="G73" s="5">
        <v>1982</v>
      </c>
      <c r="H73" s="5">
        <v>6428</v>
      </c>
    </row>
    <row r="74" spans="2:8" x14ac:dyDescent="0.2">
      <c r="B74" s="3">
        <v>44012.507638888892</v>
      </c>
      <c r="C74" s="1">
        <v>989</v>
      </c>
      <c r="D74" s="5">
        <v>8443</v>
      </c>
      <c r="E74" s="5">
        <v>5192</v>
      </c>
      <c r="F74" s="5">
        <v>9893</v>
      </c>
      <c r="G74" s="5">
        <v>2002</v>
      </c>
      <c r="H74" s="5">
        <v>6452</v>
      </c>
    </row>
    <row r="75" spans="2:8" x14ac:dyDescent="0.2">
      <c r="B75" s="3">
        <v>44013.511111111111</v>
      </c>
      <c r="C75" s="1">
        <v>991</v>
      </c>
      <c r="D75" s="5">
        <v>8510</v>
      </c>
      <c r="E75" s="5">
        <v>5281</v>
      </c>
      <c r="F75" s="5">
        <v>10025</v>
      </c>
      <c r="G75" s="5">
        <v>2019</v>
      </c>
      <c r="H75" s="5">
        <v>6494</v>
      </c>
    </row>
    <row r="76" spans="2:8" x14ac:dyDescent="0.2">
      <c r="B76" s="3">
        <v>44014.502083333333</v>
      </c>
      <c r="C76" s="1">
        <v>997</v>
      </c>
      <c r="D76" s="5">
        <v>8584</v>
      </c>
      <c r="E76" s="5">
        <v>5343</v>
      </c>
      <c r="F76" s="5">
        <v>10136</v>
      </c>
      <c r="G76" s="5">
        <v>2031</v>
      </c>
      <c r="H76" s="5">
        <v>6529</v>
      </c>
    </row>
    <row r="77" spans="2:8" x14ac:dyDescent="0.2">
      <c r="B77" s="3">
        <v>44015.51458333333</v>
      </c>
      <c r="C77" s="1">
        <v>1011</v>
      </c>
      <c r="D77" s="5">
        <v>8748</v>
      </c>
      <c r="E77" s="5">
        <v>5422</v>
      </c>
      <c r="F77" s="5">
        <v>10284</v>
      </c>
      <c r="G77" s="5">
        <v>2032</v>
      </c>
      <c r="H77" s="5">
        <v>6568</v>
      </c>
    </row>
    <row r="78" spans="2:8" x14ac:dyDescent="0.2">
      <c r="B78" s="3">
        <v>44018.51458333333</v>
      </c>
      <c r="C78" s="1">
        <v>1022</v>
      </c>
      <c r="D78" s="5">
        <v>8786</v>
      </c>
      <c r="E78" s="5">
        <v>5409</v>
      </c>
      <c r="F78" s="5">
        <v>10283</v>
      </c>
      <c r="G78" s="5">
        <v>1999</v>
      </c>
      <c r="H78" s="5">
        <v>6576</v>
      </c>
    </row>
    <row r="79" spans="2:8" x14ac:dyDescent="0.2">
      <c r="B79" s="3">
        <v>44019.507638888892</v>
      </c>
      <c r="C79" s="1">
        <v>1033</v>
      </c>
      <c r="D79" s="5">
        <v>8803</v>
      </c>
      <c r="E79" s="5">
        <v>5452</v>
      </c>
      <c r="F79" s="5">
        <v>10372</v>
      </c>
      <c r="G79" s="5">
        <v>2024</v>
      </c>
      <c r="H79" s="5">
        <v>6599</v>
      </c>
    </row>
    <row r="80" spans="2:8" x14ac:dyDescent="0.2">
      <c r="B80" s="3">
        <v>44020.505555555559</v>
      </c>
      <c r="C80" s="1">
        <v>1061</v>
      </c>
      <c r="D80" s="5">
        <v>8888</v>
      </c>
      <c r="E80" s="5">
        <v>5462</v>
      </c>
      <c r="F80" s="5">
        <v>10434</v>
      </c>
      <c r="G80" s="5">
        <v>2048</v>
      </c>
      <c r="H80" s="5">
        <v>6655</v>
      </c>
    </row>
    <row r="81" spans="2:8" x14ac:dyDescent="0.2">
      <c r="B81" s="3">
        <v>44021.508333333331</v>
      </c>
      <c r="C81" s="1">
        <v>1049</v>
      </c>
      <c r="D81" s="5">
        <v>8962</v>
      </c>
      <c r="E81" s="5">
        <v>5498</v>
      </c>
      <c r="F81" s="5">
        <v>10506</v>
      </c>
      <c r="G81" s="5">
        <v>2072</v>
      </c>
      <c r="H81" s="5">
        <v>6702</v>
      </c>
    </row>
    <row r="82" spans="2:8" x14ac:dyDescent="0.2">
      <c r="B82" s="3">
        <v>44025.51458333333</v>
      </c>
      <c r="C82" s="1">
        <v>1077</v>
      </c>
      <c r="D82" s="5">
        <v>9114</v>
      </c>
      <c r="E82" s="5">
        <v>5505</v>
      </c>
      <c r="F82" s="5">
        <v>10580</v>
      </c>
      <c r="G82" s="5">
        <v>1181</v>
      </c>
      <c r="H82" s="5">
        <v>6879</v>
      </c>
    </row>
    <row r="83" spans="2:8" x14ac:dyDescent="0.2">
      <c r="B83" s="3">
        <v>44026.511805555558</v>
      </c>
      <c r="C83" s="1">
        <v>1082</v>
      </c>
      <c r="D83" s="5">
        <v>9117</v>
      </c>
      <c r="E83" s="5">
        <v>5519</v>
      </c>
      <c r="F83" s="5"/>
      <c r="G83" s="5">
        <v>2225</v>
      </c>
      <c r="H83" s="5">
        <v>6962</v>
      </c>
    </row>
    <row r="84" spans="2:8" x14ac:dyDescent="0.2">
      <c r="B84" s="3">
        <v>44027.505555555559</v>
      </c>
      <c r="C84" s="1">
        <v>1060</v>
      </c>
      <c r="D84" s="5">
        <v>9187</v>
      </c>
      <c r="E84" s="5">
        <v>5549</v>
      </c>
      <c r="F84" s="5">
        <v>10661</v>
      </c>
      <c r="G84" s="5">
        <v>2075</v>
      </c>
      <c r="H84" s="5">
        <v>6841</v>
      </c>
    </row>
    <row r="85" spans="2:8" x14ac:dyDescent="0.2">
      <c r="B85" s="3">
        <v>44028.51458333333</v>
      </c>
      <c r="C85" s="1">
        <v>1097</v>
      </c>
      <c r="D85" s="5">
        <v>9254</v>
      </c>
      <c r="E85" s="5">
        <v>5547</v>
      </c>
      <c r="F85" s="5">
        <v>10864</v>
      </c>
      <c r="G85" s="5">
        <v>2077</v>
      </c>
      <c r="H85" s="5">
        <v>6856</v>
      </c>
    </row>
    <row r="86" spans="2:8" x14ac:dyDescent="0.2">
      <c r="B86" s="3">
        <v>44029.507638888892</v>
      </c>
      <c r="C86" s="1">
        <v>1095</v>
      </c>
      <c r="D86" s="5">
        <v>9263</v>
      </c>
      <c r="E86" s="5">
        <v>5541</v>
      </c>
      <c r="F86" s="5">
        <v>10709</v>
      </c>
      <c r="G86" s="5">
        <v>2092</v>
      </c>
      <c r="H86" s="5">
        <v>6871</v>
      </c>
    </row>
    <row r="87" spans="2:8" x14ac:dyDescent="0.2">
      <c r="B87" s="3">
        <v>44032.521527777775</v>
      </c>
      <c r="C87" s="1">
        <v>1095</v>
      </c>
      <c r="D87" s="5">
        <v>9242</v>
      </c>
      <c r="E87" s="5">
        <v>5489</v>
      </c>
      <c r="F87" s="5">
        <v>10640</v>
      </c>
      <c r="G87" s="5">
        <v>2087</v>
      </c>
      <c r="H87" s="5">
        <v>6866</v>
      </c>
    </row>
    <row r="88" spans="2:8" x14ac:dyDescent="0.2">
      <c r="B88" s="3">
        <v>44033.511805555558</v>
      </c>
      <c r="C88" s="1">
        <v>1085</v>
      </c>
      <c r="D88" s="5">
        <v>9214</v>
      </c>
      <c r="E88" s="5">
        <v>5465</v>
      </c>
      <c r="F88" s="5">
        <v>10604</v>
      </c>
      <c r="G88" s="5">
        <v>2090</v>
      </c>
      <c r="H88" s="5">
        <v>6872</v>
      </c>
    </row>
    <row r="89" spans="2:8" x14ac:dyDescent="0.2">
      <c r="B89" s="3">
        <v>44034.505555555559</v>
      </c>
      <c r="C89" s="1">
        <v>1085</v>
      </c>
      <c r="D89" s="5">
        <v>9251</v>
      </c>
      <c r="E89" s="5">
        <v>5482</v>
      </c>
      <c r="F89" s="5">
        <v>10684</v>
      </c>
      <c r="G89" s="5">
        <v>2096</v>
      </c>
      <c r="H89" s="5">
        <v>6913</v>
      </c>
    </row>
    <row r="90" spans="2:8" x14ac:dyDescent="0.2">
      <c r="B90" s="3">
        <v>44035.506249999999</v>
      </c>
      <c r="C90" s="1">
        <v>1091</v>
      </c>
      <c r="D90" s="5">
        <v>9316</v>
      </c>
      <c r="E90" s="5">
        <v>5496</v>
      </c>
      <c r="F90" s="5">
        <v>10736</v>
      </c>
      <c r="G90" s="5">
        <v>2103</v>
      </c>
      <c r="H90" s="5">
        <v>6932</v>
      </c>
    </row>
    <row r="91" spans="2:8" x14ac:dyDescent="0.2">
      <c r="B91" s="3">
        <v>44036.519444444442</v>
      </c>
      <c r="C91" s="1">
        <v>1099</v>
      </c>
      <c r="D91" s="5">
        <v>9339</v>
      </c>
      <c r="E91" s="5">
        <v>5493</v>
      </c>
      <c r="F91" s="5">
        <v>10758</v>
      </c>
      <c r="G91" s="5">
        <v>2098</v>
      </c>
      <c r="H91" s="5">
        <v>6970</v>
      </c>
    </row>
    <row r="92" spans="2:8" x14ac:dyDescent="0.2">
      <c r="B92" s="3">
        <v>44039.510416666664</v>
      </c>
      <c r="C92" s="1">
        <v>1105</v>
      </c>
      <c r="D92" s="5">
        <v>9345</v>
      </c>
      <c r="E92" s="5">
        <v>5480</v>
      </c>
      <c r="F92" s="5">
        <v>10773</v>
      </c>
      <c r="G92" s="5">
        <v>2107</v>
      </c>
      <c r="H92" s="5">
        <v>6936</v>
      </c>
    </row>
    <row r="93" spans="2:8" x14ac:dyDescent="0.2">
      <c r="B93" s="3">
        <v>44040.523611111108</v>
      </c>
      <c r="C93" s="1">
        <v>1114</v>
      </c>
      <c r="D93" s="5">
        <v>9369</v>
      </c>
      <c r="E93" s="5">
        <v>5463</v>
      </c>
      <c r="F93" s="5">
        <v>10735</v>
      </c>
      <c r="G93" s="5">
        <v>2099</v>
      </c>
      <c r="H93" s="5">
        <v>6955</v>
      </c>
    </row>
    <row r="94" spans="2:8" x14ac:dyDescent="0.2">
      <c r="B94" s="3">
        <v>44041.511805555558</v>
      </c>
      <c r="C94" s="1">
        <v>1123</v>
      </c>
      <c r="D94" s="5">
        <v>9421</v>
      </c>
      <c r="E94" s="5">
        <v>5466</v>
      </c>
      <c r="F94" s="5">
        <v>10759</v>
      </c>
      <c r="G94" s="5">
        <v>2109</v>
      </c>
      <c r="H94" s="5">
        <v>6963</v>
      </c>
    </row>
    <row r="95" spans="2:8" x14ac:dyDescent="0.2">
      <c r="B95" s="3">
        <v>44042.511111111111</v>
      </c>
      <c r="C95" s="1">
        <v>1138</v>
      </c>
      <c r="D95" s="5">
        <v>9445</v>
      </c>
      <c r="E95" s="5">
        <v>5468</v>
      </c>
      <c r="F95" s="5">
        <v>10754</v>
      </c>
      <c r="G95" s="5">
        <v>2124</v>
      </c>
      <c r="H95" s="5">
        <v>6975</v>
      </c>
    </row>
    <row r="96" spans="2:8" x14ac:dyDescent="0.2">
      <c r="B96" s="3">
        <v>44043.515277777777</v>
      </c>
      <c r="C96" s="1">
        <v>1132</v>
      </c>
      <c r="D96" s="5">
        <v>9453</v>
      </c>
      <c r="E96" s="5">
        <v>5454</v>
      </c>
      <c r="F96" s="5">
        <v>10745</v>
      </c>
      <c r="G96" s="5">
        <v>2111</v>
      </c>
      <c r="H96" s="5">
        <v>6985</v>
      </c>
    </row>
    <row r="97" spans="2:8" x14ac:dyDescent="0.2">
      <c r="B97" s="3">
        <v>44046.506249999999</v>
      </c>
      <c r="C97" s="1">
        <v>1136</v>
      </c>
      <c r="D97" s="5">
        <v>9465</v>
      </c>
      <c r="E97" s="5">
        <v>5377</v>
      </c>
      <c r="F97" s="5">
        <v>10626</v>
      </c>
      <c r="G97" s="5">
        <v>2070</v>
      </c>
      <c r="H97" s="5">
        <v>6921</v>
      </c>
    </row>
    <row r="98" spans="2:8" x14ac:dyDescent="0.2">
      <c r="B98" s="3">
        <v>44047.509722222225</v>
      </c>
      <c r="C98" s="1">
        <v>1169</v>
      </c>
      <c r="D98" s="5">
        <v>9496</v>
      </c>
      <c r="E98" s="5">
        <v>5424</v>
      </c>
      <c r="F98" s="5">
        <v>10676</v>
      </c>
      <c r="G98" s="5">
        <v>2060</v>
      </c>
      <c r="H98" s="5">
        <v>6959</v>
      </c>
    </row>
    <row r="99" spans="2:8" x14ac:dyDescent="0.2">
      <c r="B99" s="3">
        <v>44048.518055555556</v>
      </c>
      <c r="C99" s="1">
        <v>1189</v>
      </c>
      <c r="D99" s="5">
        <v>9574</v>
      </c>
      <c r="E99" s="5">
        <v>5473</v>
      </c>
      <c r="F99" s="5">
        <v>10717</v>
      </c>
      <c r="G99" s="5">
        <v>2055</v>
      </c>
      <c r="H99" s="5">
        <v>6939</v>
      </c>
    </row>
    <row r="100" spans="2:8" x14ac:dyDescent="0.2">
      <c r="B100" s="3">
        <v>44049.504166666666</v>
      </c>
      <c r="C100" s="1">
        <v>1201</v>
      </c>
      <c r="D100" s="5">
        <v>9662</v>
      </c>
      <c r="E100" s="5">
        <v>5530</v>
      </c>
      <c r="F100" s="5">
        <v>10805</v>
      </c>
      <c r="G100" s="5">
        <v>2054</v>
      </c>
      <c r="H100" s="5">
        <v>6977</v>
      </c>
    </row>
    <row r="101" spans="2:8" x14ac:dyDescent="0.2">
      <c r="B101" s="3">
        <v>44050.507638888892</v>
      </c>
      <c r="C101" s="1">
        <v>1211</v>
      </c>
      <c r="D101" s="5">
        <v>9723</v>
      </c>
      <c r="E101" s="5">
        <v>5533</v>
      </c>
      <c r="F101" s="5">
        <v>10797</v>
      </c>
      <c r="G101" s="5">
        <v>2071</v>
      </c>
      <c r="H101" s="5">
        <v>6990</v>
      </c>
    </row>
    <row r="102" spans="2:8" x14ac:dyDescent="0.2">
      <c r="B102" s="3">
        <v>44053.522916666669</v>
      </c>
      <c r="C102" s="1">
        <v>1200</v>
      </c>
      <c r="D102" s="5">
        <v>9686</v>
      </c>
      <c r="E102" s="5">
        <v>5514</v>
      </c>
      <c r="F102" s="5">
        <v>10744</v>
      </c>
      <c r="G102" s="5">
        <v>2108</v>
      </c>
      <c r="H102" s="5">
        <v>6981</v>
      </c>
    </row>
    <row r="103" spans="2:8" x14ac:dyDescent="0.2">
      <c r="B103" s="3">
        <v>44054.518750000003</v>
      </c>
      <c r="C103" s="1">
        <v>1208</v>
      </c>
      <c r="D103" s="5">
        <v>9712</v>
      </c>
      <c r="E103" s="5">
        <v>5500</v>
      </c>
      <c r="F103" s="5">
        <v>10742</v>
      </c>
      <c r="G103" s="5">
        <v>2107</v>
      </c>
      <c r="H103" s="5">
        <v>6966</v>
      </c>
    </row>
    <row r="104" spans="2:8" x14ac:dyDescent="0.2">
      <c r="B104" s="3">
        <v>44055.518055555556</v>
      </c>
      <c r="C104" s="1">
        <v>1222</v>
      </c>
      <c r="D104" s="5">
        <v>9764</v>
      </c>
      <c r="E104" s="5">
        <v>5500</v>
      </c>
      <c r="F104" s="5">
        <v>10765</v>
      </c>
      <c r="G104" s="5">
        <v>2101</v>
      </c>
      <c r="H104" s="5">
        <v>6968</v>
      </c>
    </row>
    <row r="105" spans="2:8" x14ac:dyDescent="0.2">
      <c r="B105" s="3">
        <v>44056.51666666667</v>
      </c>
      <c r="C105" s="1">
        <v>1207</v>
      </c>
      <c r="D105" s="5">
        <v>9772</v>
      </c>
      <c r="E105" s="5">
        <v>5548</v>
      </c>
      <c r="F105" s="5">
        <v>10789</v>
      </c>
      <c r="G105" s="5">
        <v>2113</v>
      </c>
      <c r="H105" s="5">
        <v>7013</v>
      </c>
    </row>
    <row r="106" spans="2:8" x14ac:dyDescent="0.2">
      <c r="B106" s="3">
        <v>44057.524305555555</v>
      </c>
      <c r="C106" s="1">
        <v>1210</v>
      </c>
      <c r="D106" s="5">
        <v>9855</v>
      </c>
      <c r="E106" s="5">
        <v>5556</v>
      </c>
      <c r="F106" s="5">
        <v>10826</v>
      </c>
      <c r="G106" s="5">
        <v>2107</v>
      </c>
      <c r="H106" s="5">
        <v>7042</v>
      </c>
    </row>
    <row r="107" spans="2:8" x14ac:dyDescent="0.2">
      <c r="B107" s="3">
        <v>44060.5</v>
      </c>
      <c r="C107" s="1">
        <v>1204</v>
      </c>
      <c r="D107" s="5">
        <v>9874</v>
      </c>
      <c r="E107" s="5">
        <v>5523</v>
      </c>
      <c r="F107" s="5">
        <v>10736</v>
      </c>
      <c r="G107" s="5">
        <v>2120</v>
      </c>
      <c r="H107" s="5">
        <v>6989</v>
      </c>
    </row>
    <row r="108" spans="2:8" x14ac:dyDescent="0.2">
      <c r="B108" s="3">
        <v>44061.515277777777</v>
      </c>
      <c r="C108" s="1">
        <v>1204</v>
      </c>
      <c r="D108" s="5">
        <v>9929</v>
      </c>
      <c r="E108" s="5">
        <v>5489</v>
      </c>
      <c r="F108" s="5">
        <v>10710</v>
      </c>
      <c r="G108" s="5">
        <v>2132</v>
      </c>
      <c r="H108" s="5">
        <v>7011</v>
      </c>
    </row>
    <row r="109" spans="2:8" x14ac:dyDescent="0.2">
      <c r="B109" s="3">
        <v>44062.501388888886</v>
      </c>
      <c r="C109" s="1">
        <v>1213</v>
      </c>
      <c r="D109" s="5">
        <v>9968</v>
      </c>
      <c r="E109" s="5">
        <v>5512</v>
      </c>
      <c r="F109" s="5">
        <v>10750</v>
      </c>
      <c r="G109" s="5">
        <v>2147</v>
      </c>
      <c r="H109" s="5">
        <v>7002</v>
      </c>
    </row>
    <row r="110" spans="2:8" x14ac:dyDescent="0.2">
      <c r="B110" s="3">
        <v>44064.5</v>
      </c>
      <c r="C110" s="1">
        <v>1207</v>
      </c>
      <c r="D110" s="5">
        <v>9931</v>
      </c>
      <c r="E110" s="5">
        <v>5434</v>
      </c>
      <c r="F110" s="5">
        <v>10678</v>
      </c>
      <c r="G110" s="5">
        <v>2111</v>
      </c>
      <c r="H110" s="5">
        <v>6961</v>
      </c>
    </row>
    <row r="111" spans="2:8" x14ac:dyDescent="0.2">
      <c r="B111" s="3">
        <v>44067.50277777778</v>
      </c>
      <c r="C111" s="1">
        <v>1202</v>
      </c>
      <c r="D111" s="5">
        <v>9916</v>
      </c>
      <c r="E111" s="5">
        <v>5425</v>
      </c>
      <c r="F111" s="5">
        <v>10598</v>
      </c>
      <c r="G111" s="5">
        <v>2106</v>
      </c>
      <c r="H111" s="5">
        <v>6908</v>
      </c>
    </row>
    <row r="112" spans="2:8" x14ac:dyDescent="0.2">
      <c r="B112" s="3">
        <v>44068.5</v>
      </c>
      <c r="C112" s="1">
        <v>1207</v>
      </c>
      <c r="D112" s="5">
        <v>9909</v>
      </c>
      <c r="E112" s="5">
        <v>5388</v>
      </c>
      <c r="F112" s="5">
        <v>10522</v>
      </c>
      <c r="G112" s="5">
        <v>2119</v>
      </c>
      <c r="H112" s="5">
        <v>6912</v>
      </c>
    </row>
    <row r="113" spans="2:8" x14ac:dyDescent="0.2">
      <c r="B113" s="3">
        <v>44082.52847222222</v>
      </c>
      <c r="C113" s="1">
        <v>1165</v>
      </c>
      <c r="D113" s="5">
        <v>9859</v>
      </c>
      <c r="E113" s="5">
        <v>5313</v>
      </c>
      <c r="F113" s="5">
        <v>10305</v>
      </c>
      <c r="G113" s="5">
        <v>2079</v>
      </c>
      <c r="H113" s="5">
        <v>6672</v>
      </c>
    </row>
    <row r="114" spans="2:8" x14ac:dyDescent="0.2">
      <c r="B114" s="3">
        <v>44096.5</v>
      </c>
      <c r="C114" s="1">
        <v>1204</v>
      </c>
      <c r="D114" s="5">
        <v>10005</v>
      </c>
      <c r="E114" s="5">
        <v>5341</v>
      </c>
      <c r="F114" s="5">
        <v>10252</v>
      </c>
      <c r="G114" s="5">
        <v>2133</v>
      </c>
      <c r="H114" s="5">
        <v>6629</v>
      </c>
    </row>
    <row r="115" spans="2:8" x14ac:dyDescent="0.2">
      <c r="B115" s="3">
        <v>44113.5</v>
      </c>
      <c r="C115" s="1">
        <v>1261</v>
      </c>
      <c r="D115" s="5">
        <v>10484</v>
      </c>
      <c r="E115" s="5">
        <v>5557</v>
      </c>
      <c r="F115" s="5">
        <v>10581</v>
      </c>
      <c r="G115" s="5">
        <v>2192</v>
      </c>
      <c r="H115" s="5">
        <v>6683</v>
      </c>
    </row>
    <row r="116" spans="2:8" x14ac:dyDescent="0.2">
      <c r="B116" s="3">
        <v>44124.5</v>
      </c>
      <c r="C116" s="1">
        <v>1255</v>
      </c>
      <c r="D116" s="5">
        <v>11060</v>
      </c>
      <c r="E116" s="5">
        <v>5881</v>
      </c>
      <c r="F116" s="5">
        <v>11209</v>
      </c>
      <c r="G116" s="5">
        <v>2353</v>
      </c>
      <c r="H116" s="5">
        <v>6808</v>
      </c>
    </row>
    <row r="117" spans="2:8" x14ac:dyDescent="0.2">
      <c r="B117" s="3">
        <v>44138.5</v>
      </c>
      <c r="C117" s="1">
        <v>1259</v>
      </c>
      <c r="D117" s="5">
        <f>6737+2508+3681</f>
        <v>12926</v>
      </c>
      <c r="E117" s="5">
        <v>6433</v>
      </c>
      <c r="F117" s="5">
        <f>6327+4150+2647</f>
        <v>13124</v>
      </c>
      <c r="G117" s="5">
        <v>2557</v>
      </c>
      <c r="H117" s="5">
        <v>6817</v>
      </c>
    </row>
    <row r="118" spans="2:8" x14ac:dyDescent="0.2">
      <c r="B118" s="3">
        <v>44152.5</v>
      </c>
      <c r="C118" s="1">
        <v>1319</v>
      </c>
      <c r="D118" s="5">
        <v>12024</v>
      </c>
      <c r="E118" s="5">
        <v>6819</v>
      </c>
      <c r="F118" s="5">
        <v>12287</v>
      </c>
      <c r="G118" s="5">
        <v>2701</v>
      </c>
      <c r="H118" s="5">
        <v>6932</v>
      </c>
    </row>
    <row r="119" spans="2:8" x14ac:dyDescent="0.2">
      <c r="B119" s="3">
        <v>44166.5</v>
      </c>
      <c r="C119" s="1">
        <v>1328</v>
      </c>
      <c r="D119" s="5">
        <v>11949</v>
      </c>
      <c r="E119" s="5">
        <v>6716</v>
      </c>
      <c r="F119" s="5">
        <v>11784</v>
      </c>
      <c r="G119" s="5">
        <v>2595</v>
      </c>
      <c r="H119" s="5">
        <v>6641</v>
      </c>
    </row>
    <row r="120" spans="2:8" x14ac:dyDescent="0.2">
      <c r="B120" s="3">
        <v>44180.5</v>
      </c>
      <c r="C120" s="1">
        <v>1362</v>
      </c>
      <c r="D120" s="5">
        <v>12111</v>
      </c>
      <c r="E120" s="5">
        <v>6688</v>
      </c>
      <c r="F120" s="5">
        <v>11633</v>
      </c>
      <c r="G120" s="5">
        <v>2587</v>
      </c>
      <c r="H120" s="5">
        <v>6591</v>
      </c>
    </row>
    <row r="121" spans="2:8" x14ac:dyDescent="0.2">
      <c r="B121" s="3">
        <v>44208.5</v>
      </c>
      <c r="C121" s="1">
        <v>1347</v>
      </c>
      <c r="D121" s="5">
        <v>11737</v>
      </c>
      <c r="E121" s="5">
        <v>6499</v>
      </c>
      <c r="F121" s="5">
        <v>11347</v>
      </c>
      <c r="G121" s="5">
        <v>2432</v>
      </c>
      <c r="H121" s="5">
        <v>6303</v>
      </c>
    </row>
    <row r="122" spans="2:8" x14ac:dyDescent="0.2">
      <c r="B122" s="3">
        <v>44222.5</v>
      </c>
      <c r="C122" s="1">
        <v>1324</v>
      </c>
      <c r="D122" s="5">
        <v>12204</v>
      </c>
      <c r="E122" s="5">
        <v>6539</v>
      </c>
      <c r="F122" s="5">
        <v>11454</v>
      </c>
      <c r="G122" s="5">
        <v>2440</v>
      </c>
      <c r="H122" s="5">
        <v>6385</v>
      </c>
    </row>
    <row r="123" spans="2:8" x14ac:dyDescent="0.2">
      <c r="B123" s="3">
        <v>44250</v>
      </c>
      <c r="C123" s="1">
        <v>1405</v>
      </c>
      <c r="D123" s="5">
        <v>12946</v>
      </c>
      <c r="E123" s="5">
        <v>7063</v>
      </c>
      <c r="F123" s="5">
        <v>12216</v>
      </c>
      <c r="G123" s="5">
        <v>2560</v>
      </c>
      <c r="H123" s="5">
        <v>6610</v>
      </c>
    </row>
    <row r="124" spans="2:8" x14ac:dyDescent="0.2">
      <c r="B124" s="3">
        <v>44264</v>
      </c>
      <c r="C124" s="1">
        <v>1401</v>
      </c>
      <c r="D124" s="5">
        <v>13062</v>
      </c>
      <c r="E124" s="5">
        <v>7004</v>
      </c>
      <c r="F124" s="5">
        <v>12093</v>
      </c>
      <c r="G124" s="5">
        <v>2526</v>
      </c>
      <c r="H124" s="5">
        <v>6539</v>
      </c>
    </row>
    <row r="125" spans="2:8" x14ac:dyDescent="0.2">
      <c r="B125" s="3">
        <v>44278</v>
      </c>
      <c r="C125" s="1">
        <v>1477</v>
      </c>
      <c r="D125" s="5">
        <v>12842</v>
      </c>
      <c r="E125" s="5">
        <v>6944</v>
      </c>
      <c r="F125" s="5">
        <v>11912</v>
      </c>
      <c r="G125" s="5">
        <v>2438</v>
      </c>
      <c r="H125" s="5">
        <v>6389</v>
      </c>
    </row>
    <row r="126" spans="2:8" x14ac:dyDescent="0.2">
      <c r="B126" s="3">
        <v>44292</v>
      </c>
      <c r="C126" s="1">
        <v>1513</v>
      </c>
      <c r="D126" s="1">
        <v>12460</v>
      </c>
      <c r="E126" s="1">
        <v>6631</v>
      </c>
      <c r="F126" s="1">
        <v>11383</v>
      </c>
      <c r="G126" s="1">
        <v>2432</v>
      </c>
      <c r="H126" s="1">
        <v>6216</v>
      </c>
    </row>
    <row r="127" spans="2:8" x14ac:dyDescent="0.2">
      <c r="B127" s="3">
        <v>44306</v>
      </c>
      <c r="C127" s="1">
        <v>1525</v>
      </c>
      <c r="D127" s="1">
        <v>12314</v>
      </c>
      <c r="E127" s="1">
        <v>6739</v>
      </c>
      <c r="F127" s="1">
        <v>11325</v>
      </c>
      <c r="G127" s="1">
        <v>2430</v>
      </c>
      <c r="H127" s="1">
        <v>6119</v>
      </c>
    </row>
    <row r="128" spans="2:8" x14ac:dyDescent="0.2">
      <c r="B128" s="3">
        <v>44320</v>
      </c>
      <c r="C128" s="1">
        <v>1545</v>
      </c>
      <c r="D128" s="1">
        <v>12018</v>
      </c>
      <c r="E128" s="1">
        <v>6546</v>
      </c>
      <c r="F128" s="1">
        <v>11002</v>
      </c>
      <c r="G128" s="1">
        <v>2412</v>
      </c>
      <c r="H128" s="1">
        <v>5979</v>
      </c>
    </row>
    <row r="129" spans="2:8" x14ac:dyDescent="0.2">
      <c r="B129" s="3">
        <v>44334</v>
      </c>
      <c r="C129" s="1">
        <v>1546</v>
      </c>
      <c r="D129" s="1">
        <v>11782</v>
      </c>
      <c r="E129" s="1">
        <v>6341</v>
      </c>
      <c r="F129" s="1">
        <v>10770</v>
      </c>
      <c r="G129" s="1">
        <v>2399</v>
      </c>
      <c r="H129" s="1">
        <v>5857</v>
      </c>
    </row>
    <row r="130" spans="2:8" x14ac:dyDescent="0.2">
      <c r="B130" s="3">
        <v>44348</v>
      </c>
      <c r="C130" s="1">
        <v>1504</v>
      </c>
      <c r="D130" s="1">
        <v>11191</v>
      </c>
      <c r="E130" s="1">
        <v>6170</v>
      </c>
      <c r="F130" s="1">
        <v>10368</v>
      </c>
      <c r="G130" s="1">
        <v>2269</v>
      </c>
      <c r="H130" s="1">
        <v>5707</v>
      </c>
    </row>
    <row r="131" spans="2:8" x14ac:dyDescent="0.2">
      <c r="B131" s="3">
        <v>44362</v>
      </c>
      <c r="C131" s="1">
        <v>1559</v>
      </c>
      <c r="D131" s="1">
        <v>11047</v>
      </c>
      <c r="E131" s="1">
        <v>6165</v>
      </c>
      <c r="F131" s="1">
        <v>10377</v>
      </c>
      <c r="G131" s="1">
        <v>2190</v>
      </c>
      <c r="H131" s="1">
        <v>5647</v>
      </c>
    </row>
    <row r="132" spans="2:8" x14ac:dyDescent="0.2">
      <c r="B132" s="3">
        <v>44376</v>
      </c>
      <c r="C132" s="1">
        <v>1526</v>
      </c>
      <c r="D132" s="1">
        <v>10713</v>
      </c>
      <c r="E132" s="1">
        <v>5883</v>
      </c>
      <c r="F132" s="1">
        <v>9928</v>
      </c>
      <c r="G132" s="1">
        <v>2091</v>
      </c>
      <c r="H132" s="1">
        <v>5438</v>
      </c>
    </row>
    <row r="133" spans="2:8" x14ac:dyDescent="0.2">
      <c r="B133" s="3">
        <v>44390</v>
      </c>
      <c r="C133" s="1">
        <v>1532</v>
      </c>
      <c r="D133" s="1">
        <v>10328</v>
      </c>
      <c r="E133" s="1">
        <v>5816</v>
      </c>
      <c r="F133" s="1">
        <v>9827</v>
      </c>
      <c r="G133" s="1">
        <v>2158</v>
      </c>
      <c r="H133" s="1">
        <v>5552</v>
      </c>
    </row>
    <row r="134" spans="2:8" x14ac:dyDescent="0.2">
      <c r="B134" s="3">
        <v>44404</v>
      </c>
      <c r="C134" s="1">
        <v>1557</v>
      </c>
      <c r="D134" s="1">
        <v>9846</v>
      </c>
      <c r="E134" s="1">
        <v>5500</v>
      </c>
      <c r="F134" s="1">
        <v>9088</v>
      </c>
      <c r="G134" s="1">
        <v>2021</v>
      </c>
      <c r="H134" s="1">
        <v>5194</v>
      </c>
    </row>
    <row r="135" spans="2:8" x14ac:dyDescent="0.2">
      <c r="B135" s="3">
        <v>44419</v>
      </c>
      <c r="C135" s="1">
        <v>1414</v>
      </c>
      <c r="D135" s="1">
        <v>8663</v>
      </c>
      <c r="E135" s="1">
        <v>4811</v>
      </c>
      <c r="F135" s="1">
        <v>7872</v>
      </c>
      <c r="G135" s="1">
        <v>1748</v>
      </c>
      <c r="H135" s="1">
        <v>4388</v>
      </c>
    </row>
    <row r="136" spans="2:8" x14ac:dyDescent="0.2">
      <c r="B136" s="3">
        <v>44432</v>
      </c>
      <c r="C136" s="1">
        <v>1318</v>
      </c>
      <c r="D136" s="1">
        <v>7784</v>
      </c>
      <c r="E136" s="1">
        <v>4194</v>
      </c>
      <c r="F136" s="1">
        <v>6832</v>
      </c>
      <c r="G136" s="1">
        <v>1645</v>
      </c>
      <c r="H136" s="1">
        <v>3756</v>
      </c>
    </row>
    <row r="137" spans="2:8" x14ac:dyDescent="0.2">
      <c r="B137" s="3">
        <v>44446</v>
      </c>
      <c r="C137" s="1">
        <v>1195</v>
      </c>
      <c r="D137" s="1">
        <v>6954</v>
      </c>
      <c r="E137" s="1">
        <v>3738</v>
      </c>
      <c r="F137" s="1">
        <v>5907</v>
      </c>
      <c r="G137" s="1">
        <v>1436</v>
      </c>
      <c r="H137" s="1">
        <v>3174</v>
      </c>
    </row>
    <row r="138" spans="2:8" x14ac:dyDescent="0.2">
      <c r="B138" s="3">
        <v>44460</v>
      </c>
      <c r="C138" s="1">
        <v>1026</v>
      </c>
      <c r="D138" s="1">
        <v>5929</v>
      </c>
      <c r="E138" s="1">
        <v>3388</v>
      </c>
      <c r="F138" s="1">
        <v>5225</v>
      </c>
      <c r="G138" s="1">
        <v>1249</v>
      </c>
      <c r="H138" s="1">
        <v>2714</v>
      </c>
    </row>
    <row r="139" spans="2:8" x14ac:dyDescent="0.2">
      <c r="B139" s="3">
        <v>44474</v>
      </c>
      <c r="C139" s="1">
        <v>898</v>
      </c>
      <c r="D139" s="1">
        <v>5142</v>
      </c>
      <c r="E139" s="1">
        <v>3109</v>
      </c>
      <c r="F139" s="1">
        <v>4739</v>
      </c>
      <c r="G139" s="1">
        <v>1171</v>
      </c>
      <c r="H139" s="1">
        <v>2515</v>
      </c>
    </row>
    <row r="140" spans="2:8" x14ac:dyDescent="0.2">
      <c r="B140" s="3">
        <v>44488</v>
      </c>
      <c r="C140" s="1">
        <v>810</v>
      </c>
      <c r="D140" s="1">
        <v>4587</v>
      </c>
      <c r="E140" s="1">
        <v>2827</v>
      </c>
      <c r="F140" s="1">
        <v>4296</v>
      </c>
      <c r="G140" s="1">
        <v>1116</v>
      </c>
      <c r="H140" s="1">
        <v>2413</v>
      </c>
    </row>
    <row r="141" spans="2:8" x14ac:dyDescent="0.2">
      <c r="B141" s="3">
        <v>44502</v>
      </c>
      <c r="C141" s="1">
        <v>722</v>
      </c>
      <c r="D141" s="1">
        <v>4007</v>
      </c>
      <c r="E141" s="1">
        <v>2605</v>
      </c>
      <c r="F141" s="1">
        <v>3900</v>
      </c>
      <c r="G141" s="1">
        <v>993</v>
      </c>
      <c r="H141" s="1">
        <v>2159</v>
      </c>
    </row>
    <row r="142" spans="2:8" x14ac:dyDescent="0.2">
      <c r="B142" s="3">
        <v>44516</v>
      </c>
      <c r="C142" s="1">
        <v>612</v>
      </c>
      <c r="D142" s="1">
        <v>3671</v>
      </c>
      <c r="E142" s="1">
        <v>2484</v>
      </c>
      <c r="F142" s="1">
        <v>3716</v>
      </c>
      <c r="G142" s="1">
        <v>913</v>
      </c>
      <c r="H142" s="1">
        <v>2057</v>
      </c>
    </row>
    <row r="143" spans="2:8" x14ac:dyDescent="0.2">
      <c r="B143" s="3">
        <v>44530</v>
      </c>
      <c r="C143" s="1">
        <v>590</v>
      </c>
      <c r="D143" s="1">
        <v>3621</v>
      </c>
      <c r="E143" s="1">
        <v>2334</v>
      </c>
      <c r="F143" s="1">
        <v>3548</v>
      </c>
      <c r="G143" s="1">
        <v>901</v>
      </c>
      <c r="H143" s="1">
        <v>2040</v>
      </c>
    </row>
    <row r="144" spans="2:8" x14ac:dyDescent="0.2">
      <c r="B144" s="3">
        <v>44544</v>
      </c>
      <c r="C144" s="1">
        <v>543</v>
      </c>
      <c r="D144" s="1">
        <v>3507</v>
      </c>
      <c r="E144" s="1">
        <v>2231</v>
      </c>
      <c r="F144" s="1">
        <v>3371</v>
      </c>
      <c r="G144" s="1">
        <v>923</v>
      </c>
      <c r="H144" s="1">
        <v>2100</v>
      </c>
    </row>
    <row r="145" spans="2:8" x14ac:dyDescent="0.2">
      <c r="B145" s="3">
        <v>44559</v>
      </c>
      <c r="C145" s="1">
        <v>477</v>
      </c>
      <c r="D145" s="1">
        <v>3225</v>
      </c>
      <c r="E145" s="1">
        <v>2085</v>
      </c>
      <c r="F145" s="1">
        <v>3199</v>
      </c>
      <c r="G145" s="1">
        <v>864</v>
      </c>
      <c r="H145" s="1">
        <v>2009</v>
      </c>
    </row>
    <row r="146" spans="2:8" x14ac:dyDescent="0.2">
      <c r="B146" s="3">
        <v>44572</v>
      </c>
      <c r="C146" s="1">
        <v>529</v>
      </c>
      <c r="D146" s="1">
        <v>3413</v>
      </c>
      <c r="E146" s="1">
        <v>2171</v>
      </c>
      <c r="F146" s="1">
        <v>3307</v>
      </c>
      <c r="G146" s="1">
        <v>868</v>
      </c>
      <c r="H146" s="1">
        <v>2025</v>
      </c>
    </row>
    <row r="147" spans="2:8" x14ac:dyDescent="0.2">
      <c r="B147" s="3">
        <v>44586</v>
      </c>
      <c r="C147" s="1">
        <v>444</v>
      </c>
      <c r="D147" s="1">
        <v>3085</v>
      </c>
      <c r="E147" s="1">
        <v>1959</v>
      </c>
      <c r="F147" s="1">
        <v>3056</v>
      </c>
      <c r="G147" s="1">
        <v>812</v>
      </c>
      <c r="H147" s="1">
        <v>1952</v>
      </c>
    </row>
    <row r="148" spans="2:8" x14ac:dyDescent="0.2">
      <c r="B148" s="3">
        <v>44600</v>
      </c>
      <c r="C148" s="1">
        <v>440</v>
      </c>
      <c r="D148" s="1">
        <v>2870</v>
      </c>
      <c r="E148" s="1">
        <v>1718</v>
      </c>
      <c r="F148" s="1">
        <v>2799</v>
      </c>
      <c r="G148" s="1">
        <v>739</v>
      </c>
      <c r="H148" s="1">
        <v>1828</v>
      </c>
    </row>
    <row r="149" spans="2:8" x14ac:dyDescent="0.2">
      <c r="B149" s="3">
        <v>44614</v>
      </c>
      <c r="C149" s="1">
        <v>405</v>
      </c>
      <c r="D149" s="1">
        <v>2701</v>
      </c>
      <c r="E149" s="1">
        <v>1619</v>
      </c>
      <c r="F149" s="1">
        <v>2662</v>
      </c>
      <c r="G149" s="1">
        <v>659</v>
      </c>
      <c r="H149" s="1">
        <v>1793</v>
      </c>
    </row>
    <row r="150" spans="2:8" x14ac:dyDescent="0.2">
      <c r="B150" s="3">
        <v>44628</v>
      </c>
      <c r="C150" s="1">
        <v>368</v>
      </c>
      <c r="D150" s="1">
        <v>2696</v>
      </c>
      <c r="E150" s="1">
        <v>1428</v>
      </c>
      <c r="F150" s="1">
        <v>2451</v>
      </c>
      <c r="G150" s="1">
        <v>600</v>
      </c>
      <c r="H150" s="1">
        <v>1742</v>
      </c>
    </row>
    <row r="151" spans="2:8" x14ac:dyDescent="0.2">
      <c r="B151" s="3">
        <v>44642</v>
      </c>
      <c r="C151" s="1">
        <v>317</v>
      </c>
      <c r="D151" s="1">
        <v>2529</v>
      </c>
      <c r="E151" s="1">
        <v>1341</v>
      </c>
      <c r="F151" s="1">
        <v>2352</v>
      </c>
      <c r="G151" s="1">
        <v>573</v>
      </c>
      <c r="H151" s="1">
        <v>1663</v>
      </c>
    </row>
    <row r="152" spans="2:8" x14ac:dyDescent="0.2">
      <c r="B152" s="3">
        <v>44656</v>
      </c>
      <c r="C152" s="1">
        <v>305</v>
      </c>
      <c r="D152" s="1">
        <v>2428</v>
      </c>
      <c r="E152" s="1">
        <v>1233</v>
      </c>
      <c r="F152" s="1">
        <v>2232</v>
      </c>
      <c r="G152" s="1">
        <v>520</v>
      </c>
      <c r="H152" s="1">
        <v>1577</v>
      </c>
    </row>
    <row r="153" spans="2:8" x14ac:dyDescent="0.2">
      <c r="B153" s="3">
        <v>44670</v>
      </c>
      <c r="C153" s="1">
        <v>323</v>
      </c>
      <c r="D153" s="1">
        <v>2507</v>
      </c>
      <c r="E153" s="1">
        <v>1161</v>
      </c>
      <c r="F153" s="1">
        <v>2156</v>
      </c>
      <c r="G153" s="1">
        <v>503</v>
      </c>
      <c r="H153" s="1">
        <v>1636</v>
      </c>
    </row>
    <row r="154" spans="2:8" x14ac:dyDescent="0.2">
      <c r="B154" s="3">
        <v>44684</v>
      </c>
      <c r="C154" s="1">
        <v>300</v>
      </c>
      <c r="D154" s="1">
        <v>2480</v>
      </c>
      <c r="E154" s="1">
        <v>1154</v>
      </c>
      <c r="F154" s="1">
        <v>2124</v>
      </c>
      <c r="G154" s="1">
        <v>488</v>
      </c>
      <c r="H154" s="1">
        <v>1657</v>
      </c>
    </row>
    <row r="155" spans="2:8" x14ac:dyDescent="0.2">
      <c r="B155" s="3">
        <v>44698</v>
      </c>
      <c r="C155" s="1">
        <v>283</v>
      </c>
      <c r="D155" s="1">
        <v>2328</v>
      </c>
      <c r="E155" s="1">
        <v>1115</v>
      </c>
      <c r="F155" s="1">
        <v>2171</v>
      </c>
      <c r="G155" s="1">
        <v>399</v>
      </c>
      <c r="H155" s="1">
        <v>1513</v>
      </c>
    </row>
    <row r="156" spans="2:8" x14ac:dyDescent="0.2">
      <c r="B156" s="3">
        <v>44712</v>
      </c>
      <c r="C156" s="1">
        <v>267</v>
      </c>
      <c r="D156" s="1">
        <v>2353</v>
      </c>
      <c r="E156" s="1">
        <v>1056</v>
      </c>
      <c r="F156" s="1">
        <v>2118</v>
      </c>
      <c r="G156" s="1">
        <v>403</v>
      </c>
      <c r="H156" s="1">
        <v>1598</v>
      </c>
    </row>
    <row r="157" spans="2:8" x14ac:dyDescent="0.2">
      <c r="B157" s="3">
        <v>44726</v>
      </c>
      <c r="C157" s="1">
        <v>207</v>
      </c>
      <c r="D157" s="1">
        <v>2337</v>
      </c>
      <c r="E157" s="1">
        <v>1061</v>
      </c>
      <c r="F157" s="1">
        <v>2125</v>
      </c>
      <c r="G157" s="1">
        <v>388</v>
      </c>
      <c r="H157" s="1">
        <v>1601</v>
      </c>
    </row>
    <row r="158" spans="2:8" x14ac:dyDescent="0.2">
      <c r="B158" s="3">
        <v>44740</v>
      </c>
      <c r="C158" s="1">
        <v>202</v>
      </c>
      <c r="D158" s="1">
        <v>2284</v>
      </c>
      <c r="E158" s="1">
        <v>1185</v>
      </c>
      <c r="F158" s="1">
        <v>2215</v>
      </c>
      <c r="G158" s="1">
        <v>325</v>
      </c>
      <c r="H158" s="1">
        <v>1573</v>
      </c>
    </row>
    <row r="159" spans="2:8" x14ac:dyDescent="0.2">
      <c r="B159" s="3">
        <v>44754</v>
      </c>
      <c r="C159" s="1">
        <v>182</v>
      </c>
      <c r="D159" s="1">
        <v>2212</v>
      </c>
      <c r="E159" s="1">
        <v>1098</v>
      </c>
      <c r="F159" s="1">
        <v>2147</v>
      </c>
      <c r="G159" s="1">
        <v>349</v>
      </c>
      <c r="H159" s="1">
        <v>1553</v>
      </c>
    </row>
    <row r="160" spans="2:8" x14ac:dyDescent="0.2">
      <c r="B160" s="3">
        <v>44768</v>
      </c>
      <c r="C160" s="1">
        <v>158</v>
      </c>
      <c r="D160" s="1">
        <v>2066</v>
      </c>
      <c r="E160" s="1">
        <v>1015</v>
      </c>
      <c r="F160" s="1">
        <v>1997</v>
      </c>
      <c r="G160" s="1">
        <v>318</v>
      </c>
      <c r="H160" s="1">
        <v>1441</v>
      </c>
    </row>
    <row r="161" spans="2:8" x14ac:dyDescent="0.2">
      <c r="B161" s="3">
        <v>44782</v>
      </c>
      <c r="C161" s="1">
        <v>152</v>
      </c>
      <c r="D161" s="1">
        <v>1741</v>
      </c>
      <c r="E161" s="1">
        <v>887</v>
      </c>
      <c r="F161" s="1">
        <v>1700</v>
      </c>
      <c r="G161" s="1">
        <v>261</v>
      </c>
      <c r="H161" s="1">
        <v>1295</v>
      </c>
    </row>
    <row r="162" spans="2:8" x14ac:dyDescent="0.2">
      <c r="B162" s="3">
        <v>44796</v>
      </c>
      <c r="C162" s="1">
        <v>128</v>
      </c>
      <c r="D162" s="1">
        <v>1489</v>
      </c>
      <c r="E162" s="1">
        <v>690</v>
      </c>
      <c r="F162" s="1">
        <v>1414</v>
      </c>
      <c r="G162" s="1">
        <v>230</v>
      </c>
      <c r="H162" s="1">
        <v>1073</v>
      </c>
    </row>
    <row r="163" spans="2:8" x14ac:dyDescent="0.2">
      <c r="B163" s="3">
        <v>44810</v>
      </c>
      <c r="C163" s="1">
        <v>104</v>
      </c>
      <c r="D163" s="1">
        <v>1406</v>
      </c>
      <c r="E163" s="1">
        <v>565</v>
      </c>
      <c r="F163" s="1">
        <v>1226</v>
      </c>
      <c r="G163" s="1">
        <v>203</v>
      </c>
      <c r="H163" s="1">
        <v>981</v>
      </c>
    </row>
    <row r="164" spans="2:8" x14ac:dyDescent="0.2">
      <c r="B164" s="3">
        <v>44824</v>
      </c>
      <c r="C164" s="1">
        <v>101</v>
      </c>
      <c r="D164" s="1">
        <v>1217</v>
      </c>
      <c r="E164" s="1">
        <v>478</v>
      </c>
      <c r="F164" s="1">
        <v>1043</v>
      </c>
      <c r="G164" s="1">
        <v>179</v>
      </c>
      <c r="H164" s="1">
        <v>895</v>
      </c>
    </row>
    <row r="165" spans="2:8" x14ac:dyDescent="0.2">
      <c r="B165" s="3">
        <v>44838</v>
      </c>
      <c r="C165" s="1">
        <v>89</v>
      </c>
      <c r="D165" s="1">
        <v>1130</v>
      </c>
      <c r="E165" s="1">
        <v>440</v>
      </c>
      <c r="F165" s="1">
        <v>1003</v>
      </c>
      <c r="G165" s="1">
        <v>159</v>
      </c>
      <c r="H165" s="1">
        <v>854</v>
      </c>
    </row>
    <row r="166" spans="2:8" x14ac:dyDescent="0.2">
      <c r="B166" s="3">
        <v>44853</v>
      </c>
      <c r="C166" s="1">
        <v>70</v>
      </c>
      <c r="D166" s="1">
        <v>1000</v>
      </c>
      <c r="E166" s="1">
        <v>413</v>
      </c>
      <c r="F166" s="1">
        <v>1035</v>
      </c>
      <c r="G166" s="1">
        <v>153</v>
      </c>
      <c r="H166" s="1">
        <v>893</v>
      </c>
    </row>
    <row r="167" spans="2:8" x14ac:dyDescent="0.2">
      <c r="B167" s="3">
        <v>44866</v>
      </c>
      <c r="C167" s="1">
        <v>62</v>
      </c>
      <c r="D167" s="1">
        <v>991</v>
      </c>
      <c r="E167" s="1">
        <v>398</v>
      </c>
      <c r="F167" s="1">
        <v>1022</v>
      </c>
      <c r="G167" s="1">
        <v>130</v>
      </c>
      <c r="H167" s="1">
        <v>884</v>
      </c>
    </row>
    <row r="168" spans="2:8" x14ac:dyDescent="0.2">
      <c r="B168" s="3">
        <v>44880</v>
      </c>
      <c r="C168" s="1">
        <v>48</v>
      </c>
      <c r="D168" s="1">
        <v>1097</v>
      </c>
      <c r="E168" s="1">
        <v>392</v>
      </c>
      <c r="F168" s="1">
        <v>1053</v>
      </c>
      <c r="G168" s="1">
        <v>127</v>
      </c>
      <c r="H168" s="1">
        <v>972</v>
      </c>
    </row>
    <row r="169" spans="2:8" x14ac:dyDescent="0.2">
      <c r="B169" s="3">
        <v>44894</v>
      </c>
      <c r="C169" s="1">
        <v>56</v>
      </c>
      <c r="D169" s="1">
        <v>1152</v>
      </c>
      <c r="E169" s="1">
        <v>413</v>
      </c>
      <c r="F169" s="1">
        <v>1180</v>
      </c>
      <c r="G169" s="1">
        <v>131</v>
      </c>
      <c r="H169" s="1">
        <v>1087</v>
      </c>
    </row>
    <row r="170" spans="2:8" x14ac:dyDescent="0.2">
      <c r="B170" s="3">
        <v>44908</v>
      </c>
      <c r="C170" s="1">
        <v>53</v>
      </c>
      <c r="D170" s="1">
        <v>1166</v>
      </c>
      <c r="E170" s="1">
        <v>447</v>
      </c>
      <c r="F170" s="1">
        <v>1229</v>
      </c>
      <c r="G170" s="1">
        <v>135</v>
      </c>
      <c r="H170" s="1">
        <v>1129</v>
      </c>
    </row>
    <row r="171" spans="2:8" x14ac:dyDescent="0.2">
      <c r="B171" s="3">
        <v>44925</v>
      </c>
      <c r="C171" s="1">
        <v>42</v>
      </c>
      <c r="D171" s="1">
        <v>1068</v>
      </c>
      <c r="E171" s="1">
        <v>413</v>
      </c>
      <c r="F171" s="1">
        <v>1193</v>
      </c>
      <c r="G171" s="1">
        <v>109</v>
      </c>
      <c r="H171" s="1">
        <v>1029</v>
      </c>
    </row>
    <row r="172" spans="2:8" x14ac:dyDescent="0.2">
      <c r="B172" s="3">
        <v>44936</v>
      </c>
      <c r="C172" s="1">
        <v>62</v>
      </c>
      <c r="D172" s="1">
        <v>1280</v>
      </c>
      <c r="E172" s="1">
        <v>474</v>
      </c>
      <c r="F172" s="1">
        <v>1302</v>
      </c>
      <c r="G172" s="1">
        <v>117</v>
      </c>
      <c r="H172" s="1">
        <v>1126</v>
      </c>
    </row>
    <row r="173" spans="2:8" x14ac:dyDescent="0.2">
      <c r="B173" s="3">
        <v>44950</v>
      </c>
      <c r="C173" s="1">
        <v>64</v>
      </c>
      <c r="D173" s="1">
        <v>1123</v>
      </c>
      <c r="E173" s="1">
        <v>433</v>
      </c>
      <c r="F173" s="1">
        <v>1232</v>
      </c>
      <c r="G173" s="1">
        <v>99</v>
      </c>
      <c r="H173" s="1">
        <v>1093</v>
      </c>
    </row>
    <row r="174" spans="2:8" x14ac:dyDescent="0.2">
      <c r="B174" s="3">
        <v>44964</v>
      </c>
      <c r="C174" s="1">
        <v>47</v>
      </c>
      <c r="D174" s="1">
        <v>1067</v>
      </c>
      <c r="E174" s="1">
        <v>317</v>
      </c>
      <c r="F174" s="1">
        <v>1073</v>
      </c>
      <c r="G174" s="1">
        <v>101</v>
      </c>
      <c r="H174" s="1">
        <v>1045</v>
      </c>
    </row>
    <row r="175" spans="2:8" x14ac:dyDescent="0.2">
      <c r="B175" s="3">
        <v>44978</v>
      </c>
      <c r="C175" s="1">
        <v>53</v>
      </c>
      <c r="D175" s="1">
        <v>1088</v>
      </c>
      <c r="E175" s="1">
        <v>274</v>
      </c>
      <c r="F175" s="1">
        <v>969</v>
      </c>
      <c r="G175" s="1">
        <v>74</v>
      </c>
      <c r="H175" s="1">
        <v>993</v>
      </c>
    </row>
    <row r="176" spans="2:8" x14ac:dyDescent="0.2">
      <c r="B176" s="3">
        <v>44992</v>
      </c>
      <c r="C176" s="1">
        <v>52</v>
      </c>
      <c r="D176" s="1">
        <v>1097</v>
      </c>
      <c r="E176" s="1">
        <v>252</v>
      </c>
      <c r="F176" s="1">
        <v>912</v>
      </c>
      <c r="G176" s="1">
        <v>93</v>
      </c>
      <c r="H176" s="1">
        <v>989</v>
      </c>
    </row>
    <row r="177" spans="2:8" x14ac:dyDescent="0.2">
      <c r="B177" s="3">
        <v>45006</v>
      </c>
      <c r="C177" s="1">
        <v>61</v>
      </c>
      <c r="D177" s="1">
        <v>1131</v>
      </c>
      <c r="E177" s="1">
        <v>253</v>
      </c>
      <c r="F177" s="1">
        <v>963</v>
      </c>
      <c r="G177" s="1">
        <v>67</v>
      </c>
      <c r="H177" s="1">
        <v>957</v>
      </c>
    </row>
    <row r="178" spans="2:8" x14ac:dyDescent="0.2">
      <c r="B178" s="3">
        <v>45020</v>
      </c>
      <c r="C178" s="1">
        <v>46</v>
      </c>
      <c r="D178" s="1">
        <v>1116</v>
      </c>
      <c r="E178" s="1">
        <v>233</v>
      </c>
      <c r="F178" s="1">
        <v>893</v>
      </c>
      <c r="G178" s="1">
        <v>64</v>
      </c>
      <c r="H178" s="1">
        <v>950</v>
      </c>
    </row>
    <row r="179" spans="2:8" x14ac:dyDescent="0.2">
      <c r="B179" s="3">
        <v>45034</v>
      </c>
      <c r="C179" s="1">
        <v>44</v>
      </c>
      <c r="D179" s="1">
        <v>1111</v>
      </c>
      <c r="E179" s="1">
        <v>243</v>
      </c>
      <c r="F179" s="1">
        <v>949</v>
      </c>
      <c r="G179" s="1">
        <v>46</v>
      </c>
      <c r="H179" s="1">
        <v>979</v>
      </c>
    </row>
    <row r="180" spans="2:8" x14ac:dyDescent="0.2">
      <c r="B180" s="3">
        <v>45048</v>
      </c>
      <c r="C180" s="1">
        <v>45</v>
      </c>
      <c r="D180" s="1">
        <v>1159</v>
      </c>
      <c r="E180" s="1">
        <v>219</v>
      </c>
      <c r="F180" s="1">
        <v>943</v>
      </c>
      <c r="G180" s="1">
        <v>52</v>
      </c>
      <c r="H180" s="1">
        <v>1031</v>
      </c>
    </row>
    <row r="181" spans="2:8" x14ac:dyDescent="0.2">
      <c r="B181" s="3">
        <v>45062</v>
      </c>
      <c r="C181" s="1">
        <v>52</v>
      </c>
      <c r="D181" s="1">
        <v>1231</v>
      </c>
      <c r="E181" s="1">
        <v>232</v>
      </c>
      <c r="F181" s="1">
        <v>1009</v>
      </c>
      <c r="G181" s="1">
        <v>54</v>
      </c>
      <c r="H181" s="1">
        <v>1031</v>
      </c>
    </row>
    <row r="182" spans="2:8" x14ac:dyDescent="0.2">
      <c r="B182" s="3">
        <v>45076</v>
      </c>
      <c r="C182" s="1">
        <v>41</v>
      </c>
      <c r="D182" s="1">
        <v>1195</v>
      </c>
      <c r="E182" s="1">
        <v>213</v>
      </c>
      <c r="F182" s="1">
        <v>973</v>
      </c>
      <c r="G182" s="1">
        <v>40</v>
      </c>
      <c r="H182" s="1">
        <v>987</v>
      </c>
    </row>
    <row r="183" spans="2:8" x14ac:dyDescent="0.2">
      <c r="B183" s="3">
        <v>45090</v>
      </c>
      <c r="C183" s="1">
        <v>60</v>
      </c>
      <c r="D183" s="1">
        <v>1303</v>
      </c>
      <c r="E183" s="1">
        <v>202</v>
      </c>
      <c r="F183" s="1">
        <v>993</v>
      </c>
      <c r="G183" s="1">
        <v>56</v>
      </c>
      <c r="H183" s="1">
        <v>1069</v>
      </c>
    </row>
    <row r="184" spans="2:8" x14ac:dyDescent="0.2">
      <c r="B184" s="3">
        <v>45104</v>
      </c>
      <c r="C184" s="1">
        <v>46</v>
      </c>
      <c r="D184" s="1">
        <v>1309</v>
      </c>
      <c r="E184" s="1">
        <v>206</v>
      </c>
      <c r="F184" s="1">
        <v>1051</v>
      </c>
      <c r="G184" s="1">
        <v>43</v>
      </c>
      <c r="H184" s="1">
        <v>1078</v>
      </c>
    </row>
    <row r="185" spans="2:8" x14ac:dyDescent="0.2">
      <c r="B185" s="3">
        <v>45118</v>
      </c>
      <c r="C185" s="1">
        <v>34</v>
      </c>
      <c r="D185" s="1">
        <v>1284</v>
      </c>
      <c r="E185" s="1">
        <v>182</v>
      </c>
      <c r="F185" s="1">
        <v>1017</v>
      </c>
      <c r="G185" s="1">
        <v>38</v>
      </c>
      <c r="H185" s="1">
        <v>1048</v>
      </c>
    </row>
    <row r="186" spans="2:8" x14ac:dyDescent="0.2">
      <c r="B186" s="3">
        <v>45132</v>
      </c>
      <c r="C186" s="1">
        <v>30</v>
      </c>
      <c r="D186" s="1">
        <v>1146</v>
      </c>
      <c r="E186" s="1">
        <v>171</v>
      </c>
      <c r="F186" s="1">
        <v>979</v>
      </c>
      <c r="G186" s="1">
        <v>38</v>
      </c>
      <c r="H186" s="1">
        <v>1072</v>
      </c>
    </row>
    <row r="187" spans="2:8" x14ac:dyDescent="0.2">
      <c r="B187" s="3">
        <v>45146</v>
      </c>
      <c r="C187" s="1">
        <v>27</v>
      </c>
      <c r="D187" s="1">
        <v>1108</v>
      </c>
      <c r="E187" s="1">
        <v>181</v>
      </c>
      <c r="F187" s="1">
        <v>980</v>
      </c>
      <c r="G187" s="1">
        <v>50</v>
      </c>
      <c r="H187" s="1">
        <v>1049</v>
      </c>
    </row>
    <row r="188" spans="2:8" x14ac:dyDescent="0.2">
      <c r="B188" s="3">
        <v>45160</v>
      </c>
      <c r="C188" s="1">
        <v>29</v>
      </c>
      <c r="D188" s="1">
        <v>1156</v>
      </c>
      <c r="E188" s="1">
        <v>157</v>
      </c>
      <c r="F188" s="1">
        <v>895</v>
      </c>
      <c r="G188" s="1">
        <v>36</v>
      </c>
      <c r="H188" s="1">
        <v>1066</v>
      </c>
    </row>
    <row r="189" spans="2:8" x14ac:dyDescent="0.2">
      <c r="B189" s="3">
        <v>45174</v>
      </c>
      <c r="C189" s="1">
        <v>28</v>
      </c>
      <c r="D189" s="1">
        <v>1091</v>
      </c>
      <c r="E189" s="1">
        <v>156</v>
      </c>
      <c r="F189" s="1">
        <v>898</v>
      </c>
      <c r="G189" s="1">
        <v>26</v>
      </c>
      <c r="H189" s="1">
        <v>1048</v>
      </c>
    </row>
    <row r="190" spans="2:8" x14ac:dyDescent="0.2">
      <c r="B190" s="3">
        <v>45188</v>
      </c>
      <c r="C190" s="1">
        <v>27</v>
      </c>
      <c r="D190" s="1">
        <v>1100</v>
      </c>
      <c r="E190" s="1">
        <v>135</v>
      </c>
      <c r="F190" s="1">
        <v>931</v>
      </c>
      <c r="G190" s="1">
        <v>32</v>
      </c>
      <c r="H190" s="1">
        <v>1017</v>
      </c>
    </row>
    <row r="191" spans="2:8" x14ac:dyDescent="0.2">
      <c r="B191" s="3">
        <v>45202</v>
      </c>
      <c r="C191" s="1">
        <v>36</v>
      </c>
      <c r="D191" s="1">
        <v>1101</v>
      </c>
      <c r="E191" s="1">
        <v>131</v>
      </c>
      <c r="F191" s="1">
        <v>906</v>
      </c>
      <c r="G191" s="1">
        <v>29</v>
      </c>
      <c r="H191" s="1">
        <v>1042</v>
      </c>
    </row>
    <row r="192" spans="2:8" x14ac:dyDescent="0.2">
      <c r="B192" s="3">
        <v>45216</v>
      </c>
      <c r="C192" s="1">
        <v>36</v>
      </c>
      <c r="D192" s="1">
        <v>1156</v>
      </c>
      <c r="E192" s="1">
        <v>128</v>
      </c>
      <c r="F192" s="1">
        <v>942</v>
      </c>
      <c r="G192" s="1">
        <v>28</v>
      </c>
      <c r="H192" s="1">
        <v>1145</v>
      </c>
    </row>
    <row r="193" spans="2:8" x14ac:dyDescent="0.2">
      <c r="B193" s="3">
        <v>45230</v>
      </c>
      <c r="C193" s="1">
        <v>20</v>
      </c>
      <c r="D193" s="1">
        <v>1149</v>
      </c>
      <c r="E193" s="1">
        <v>120</v>
      </c>
      <c r="F193" s="1">
        <v>992</v>
      </c>
      <c r="G193" s="1">
        <v>33</v>
      </c>
      <c r="H193" s="1">
        <v>1202</v>
      </c>
    </row>
    <row r="194" spans="2:8" x14ac:dyDescent="0.2">
      <c r="B194" s="3">
        <v>45244</v>
      </c>
      <c r="C194" s="1">
        <v>39</v>
      </c>
      <c r="D194" s="1">
        <v>1325</v>
      </c>
      <c r="E194" s="1">
        <v>156</v>
      </c>
      <c r="F194" s="1">
        <v>1090</v>
      </c>
      <c r="G194" s="1">
        <v>45</v>
      </c>
      <c r="H194" s="1">
        <v>1289</v>
      </c>
    </row>
    <row r="195" spans="2:8" x14ac:dyDescent="0.2">
      <c r="B195" s="3">
        <v>45258</v>
      </c>
      <c r="C195" s="1">
        <v>42</v>
      </c>
      <c r="D195" s="1">
        <v>1364</v>
      </c>
      <c r="E195" s="1">
        <v>160</v>
      </c>
      <c r="F195" s="1">
        <v>1158</v>
      </c>
      <c r="G195" s="1">
        <v>38</v>
      </c>
      <c r="H195" s="1">
        <v>1245</v>
      </c>
    </row>
    <row r="196" spans="2:8" x14ac:dyDescent="0.2">
      <c r="B196" s="3">
        <v>45273</v>
      </c>
      <c r="C196" s="1">
        <v>42</v>
      </c>
      <c r="D196" s="1">
        <v>1472</v>
      </c>
      <c r="E196" s="1">
        <v>182</v>
      </c>
      <c r="F196" s="1">
        <v>1196</v>
      </c>
      <c r="G196" s="1">
        <v>43</v>
      </c>
      <c r="H196" s="1">
        <v>1289</v>
      </c>
    </row>
    <row r="197" spans="2:8" x14ac:dyDescent="0.2">
      <c r="B197" s="3">
        <v>45292</v>
      </c>
      <c r="C197" s="1">
        <v>32</v>
      </c>
      <c r="D197" s="1">
        <v>1325</v>
      </c>
      <c r="E197" s="1">
        <v>111</v>
      </c>
      <c r="F197" s="1">
        <v>974</v>
      </c>
      <c r="G197" s="1">
        <v>32</v>
      </c>
      <c r="H197" s="1">
        <v>1162</v>
      </c>
    </row>
    <row r="198" spans="2:8" x14ac:dyDescent="0.2">
      <c r="B198" s="3">
        <v>45300</v>
      </c>
      <c r="C198" s="1">
        <v>38</v>
      </c>
      <c r="D198" s="1">
        <v>1355</v>
      </c>
      <c r="E198" s="1">
        <v>134</v>
      </c>
      <c r="F198" s="1">
        <v>1048</v>
      </c>
      <c r="G198" s="1">
        <v>44</v>
      </c>
      <c r="H198" s="1">
        <v>1215</v>
      </c>
    </row>
    <row r="199" spans="2:8" x14ac:dyDescent="0.2">
      <c r="B199" s="3">
        <v>45314</v>
      </c>
      <c r="C199" s="1">
        <v>37</v>
      </c>
      <c r="D199" s="1">
        <v>1384</v>
      </c>
      <c r="E199" s="1">
        <v>140</v>
      </c>
      <c r="F199" s="1">
        <v>1064</v>
      </c>
      <c r="G199" s="1">
        <v>43</v>
      </c>
      <c r="H199" s="1">
        <v>1300</v>
      </c>
    </row>
    <row r="200" spans="2:8" x14ac:dyDescent="0.2">
      <c r="B200" s="3">
        <v>45328</v>
      </c>
      <c r="C200" s="1">
        <v>31</v>
      </c>
      <c r="D200" s="1">
        <v>1403</v>
      </c>
      <c r="E200" s="1">
        <v>130</v>
      </c>
      <c r="F200" s="1">
        <v>1042</v>
      </c>
      <c r="G200" s="1">
        <v>32</v>
      </c>
      <c r="H200" s="1">
        <v>1285</v>
      </c>
    </row>
    <row r="201" spans="2:8" x14ac:dyDescent="0.2">
      <c r="B201" s="3">
        <v>45342</v>
      </c>
      <c r="C201" s="1">
        <v>35</v>
      </c>
      <c r="D201" s="1">
        <v>1402</v>
      </c>
      <c r="E201" s="1">
        <v>135</v>
      </c>
      <c r="F201" s="1">
        <v>1117</v>
      </c>
      <c r="G201" s="1">
        <v>35</v>
      </c>
      <c r="H201" s="1">
        <v>1282</v>
      </c>
    </row>
    <row r="202" spans="2:8" x14ac:dyDescent="0.2">
      <c r="B202" s="3">
        <v>45356</v>
      </c>
      <c r="C202" s="1">
        <v>33</v>
      </c>
      <c r="D202" s="1">
        <v>1286</v>
      </c>
      <c r="E202" s="1">
        <v>123</v>
      </c>
      <c r="F202" s="1">
        <v>1093</v>
      </c>
      <c r="G202" s="1">
        <v>39</v>
      </c>
      <c r="H202" s="1">
        <v>1310</v>
      </c>
    </row>
    <row r="203" spans="2:8" x14ac:dyDescent="0.2">
      <c r="B203" s="3">
        <v>45370</v>
      </c>
      <c r="C203" s="1">
        <v>32</v>
      </c>
      <c r="D203" s="1">
        <v>1234</v>
      </c>
      <c r="E203" s="1">
        <v>114</v>
      </c>
      <c r="F203" s="1">
        <v>1065</v>
      </c>
      <c r="G203" s="1">
        <v>36</v>
      </c>
      <c r="H203" s="1">
        <v>1300</v>
      </c>
    </row>
    <row r="204" spans="2:8" x14ac:dyDescent="0.2">
      <c r="B204" s="3">
        <v>45384</v>
      </c>
      <c r="C204" s="1">
        <v>37</v>
      </c>
      <c r="D204" s="1">
        <v>1261</v>
      </c>
      <c r="E204" s="1">
        <v>113</v>
      </c>
      <c r="F204" s="1">
        <v>1014</v>
      </c>
      <c r="G204" s="1">
        <v>27</v>
      </c>
      <c r="H204" s="1">
        <v>1235</v>
      </c>
    </row>
    <row r="205" spans="2:8" x14ac:dyDescent="0.2">
      <c r="B205" s="3">
        <v>45396</v>
      </c>
      <c r="C205" s="1">
        <v>42</v>
      </c>
      <c r="D205" s="1">
        <v>1382</v>
      </c>
      <c r="E205" s="1">
        <v>131</v>
      </c>
      <c r="F205" s="1">
        <v>1047</v>
      </c>
      <c r="G205" s="1">
        <v>24</v>
      </c>
      <c r="H205" s="1">
        <v>1204</v>
      </c>
    </row>
    <row r="206" spans="2:8" x14ac:dyDescent="0.2">
      <c r="B206" s="3">
        <v>45426</v>
      </c>
      <c r="C206" s="1">
        <v>43</v>
      </c>
      <c r="D206" s="1">
        <v>1503</v>
      </c>
      <c r="E206" s="1">
        <v>121</v>
      </c>
      <c r="F206" s="1">
        <v>1092</v>
      </c>
      <c r="G206" s="1">
        <v>25</v>
      </c>
      <c r="H206" s="1">
        <v>1236</v>
      </c>
    </row>
    <row r="207" spans="2:8" x14ac:dyDescent="0.2">
      <c r="B207" s="3">
        <v>45440</v>
      </c>
      <c r="C207" s="1">
        <v>33</v>
      </c>
      <c r="D207" s="1">
        <v>1483</v>
      </c>
      <c r="E207" s="1">
        <v>113</v>
      </c>
      <c r="F207" s="1">
        <v>1019</v>
      </c>
      <c r="G207" s="1">
        <v>31</v>
      </c>
      <c r="H207" s="1">
        <v>1296</v>
      </c>
    </row>
    <row r="208" spans="2:8" x14ac:dyDescent="0.2">
      <c r="B208" s="3">
        <v>45454</v>
      </c>
      <c r="C208" s="1">
        <v>36</v>
      </c>
      <c r="D208" s="1">
        <v>1438</v>
      </c>
      <c r="E208" s="1">
        <v>123</v>
      </c>
      <c r="F208" s="1">
        <v>1049</v>
      </c>
      <c r="G208" s="1">
        <v>19</v>
      </c>
      <c r="H208" s="1">
        <v>1271</v>
      </c>
    </row>
    <row r="209" spans="2:8" x14ac:dyDescent="0.2">
      <c r="B209" s="3">
        <v>45468</v>
      </c>
      <c r="C209" s="1">
        <v>34</v>
      </c>
      <c r="D209" s="1">
        <v>1429</v>
      </c>
      <c r="E209" s="1">
        <v>128</v>
      </c>
      <c r="F209" s="1">
        <v>1024</v>
      </c>
      <c r="G209" s="1">
        <v>21</v>
      </c>
      <c r="H209" s="1">
        <v>1243</v>
      </c>
    </row>
    <row r="210" spans="2:8" x14ac:dyDescent="0.2">
      <c r="B210" s="3">
        <v>45482</v>
      </c>
      <c r="C210" s="1">
        <v>39</v>
      </c>
      <c r="D210" s="1">
        <v>1378</v>
      </c>
      <c r="E210" s="1">
        <v>129</v>
      </c>
      <c r="F210" s="1">
        <v>1016</v>
      </c>
      <c r="G210" s="1">
        <v>25</v>
      </c>
      <c r="H210" s="1">
        <v>1221</v>
      </c>
    </row>
    <row r="211" spans="2:8" x14ac:dyDescent="0.2">
      <c r="B211" s="3">
        <v>45496</v>
      </c>
      <c r="C211" s="1">
        <v>40</v>
      </c>
      <c r="D211" s="1">
        <v>1529</v>
      </c>
      <c r="E211" s="1">
        <v>122</v>
      </c>
      <c r="F211" s="1">
        <v>1118</v>
      </c>
      <c r="G211" s="1">
        <v>29</v>
      </c>
      <c r="H211" s="1">
        <v>1365</v>
      </c>
    </row>
    <row r="212" spans="2:8" x14ac:dyDescent="0.2">
      <c r="B212" s="3">
        <v>45510</v>
      </c>
      <c r="C212" s="1">
        <v>34</v>
      </c>
      <c r="D212" s="1">
        <v>1541</v>
      </c>
      <c r="E212" s="1">
        <v>118</v>
      </c>
      <c r="F212" s="1">
        <v>1070</v>
      </c>
      <c r="G212" s="1">
        <v>27</v>
      </c>
      <c r="H212" s="1">
        <v>1359</v>
      </c>
    </row>
    <row r="213" spans="2:8" x14ac:dyDescent="0.2">
      <c r="B213" s="3">
        <v>45524</v>
      </c>
      <c r="C213" s="1">
        <v>36</v>
      </c>
      <c r="D213" s="1">
        <v>1412</v>
      </c>
      <c r="E213" s="1">
        <v>107</v>
      </c>
      <c r="F213" s="1">
        <v>1072</v>
      </c>
      <c r="G213" s="1">
        <v>22</v>
      </c>
      <c r="H213" s="1">
        <v>1388</v>
      </c>
    </row>
    <row r="214" spans="2:8" x14ac:dyDescent="0.2">
      <c r="B214" s="3">
        <v>45552</v>
      </c>
      <c r="C214" s="1">
        <v>42</v>
      </c>
      <c r="D214" s="1">
        <v>1367</v>
      </c>
      <c r="E214" s="1">
        <v>117</v>
      </c>
      <c r="F214" s="1">
        <v>1126</v>
      </c>
      <c r="G214" s="1">
        <v>35</v>
      </c>
      <c r="H214" s="1">
        <v>1363</v>
      </c>
    </row>
    <row r="215" spans="2:8" x14ac:dyDescent="0.2">
      <c r="B215" s="3">
        <v>45566</v>
      </c>
      <c r="C215" s="1">
        <v>43</v>
      </c>
      <c r="D215" s="1">
        <v>1346</v>
      </c>
      <c r="E215" s="1">
        <v>117</v>
      </c>
      <c r="F215" s="1">
        <v>1092</v>
      </c>
      <c r="G215" s="1">
        <v>30</v>
      </c>
      <c r="H215" s="1">
        <v>1357</v>
      </c>
    </row>
    <row r="216" spans="2:8" x14ac:dyDescent="0.2">
      <c r="B216" s="3">
        <v>45580</v>
      </c>
      <c r="C216" s="1">
        <v>48</v>
      </c>
      <c r="D216" s="1">
        <v>1398</v>
      </c>
      <c r="E216" s="1">
        <v>122</v>
      </c>
      <c r="F216" s="1">
        <v>1093</v>
      </c>
      <c r="G216" s="1">
        <v>28</v>
      </c>
      <c r="H216" s="1">
        <v>1346</v>
      </c>
    </row>
    <row r="217" spans="2:8" x14ac:dyDescent="0.2">
      <c r="B217" s="3">
        <v>45594</v>
      </c>
      <c r="C217" s="1">
        <v>33</v>
      </c>
      <c r="D217" s="1">
        <v>1387</v>
      </c>
      <c r="E217" s="1">
        <v>118</v>
      </c>
      <c r="F217" s="1">
        <v>1068</v>
      </c>
      <c r="G217" s="1">
        <v>25</v>
      </c>
      <c r="H217" s="1">
        <v>1332</v>
      </c>
    </row>
    <row r="218" spans="2:8" x14ac:dyDescent="0.2">
      <c r="B218" s="3">
        <v>45608</v>
      </c>
      <c r="C218" s="1">
        <v>41</v>
      </c>
      <c r="D218" s="1">
        <v>1494</v>
      </c>
      <c r="E218" s="1">
        <v>131</v>
      </c>
      <c r="F218" s="1">
        <v>1203</v>
      </c>
      <c r="G218" s="1">
        <v>27</v>
      </c>
      <c r="H218" s="1">
        <v>1419</v>
      </c>
    </row>
    <row r="219" spans="2:8" x14ac:dyDescent="0.2">
      <c r="B219" s="3">
        <v>45622</v>
      </c>
      <c r="C219" s="1">
        <v>37</v>
      </c>
      <c r="D219" s="1">
        <v>1641</v>
      </c>
      <c r="E219" s="1">
        <v>130</v>
      </c>
      <c r="F219" s="1">
        <v>1283</v>
      </c>
      <c r="G219" s="1">
        <v>25</v>
      </c>
      <c r="H219" s="1">
        <v>1534</v>
      </c>
    </row>
    <row r="220" spans="2:8" x14ac:dyDescent="0.2">
      <c r="B220" s="3">
        <v>45636</v>
      </c>
      <c r="C220" s="1">
        <v>39</v>
      </c>
      <c r="D220" s="1">
        <v>1678</v>
      </c>
      <c r="E220" s="1">
        <v>162</v>
      </c>
      <c r="F220" s="1">
        <v>1303</v>
      </c>
      <c r="G220" s="1">
        <v>32</v>
      </c>
      <c r="H220" s="1">
        <v>1532</v>
      </c>
    </row>
    <row r="221" spans="2:8" x14ac:dyDescent="0.2">
      <c r="B221" s="3">
        <v>45650</v>
      </c>
      <c r="C221" s="1">
        <v>20</v>
      </c>
      <c r="D221" s="1">
        <v>1485</v>
      </c>
      <c r="E221" s="1">
        <v>119</v>
      </c>
      <c r="F221" s="1">
        <v>1040</v>
      </c>
      <c r="G221" s="1">
        <v>26</v>
      </c>
      <c r="H221" s="1">
        <v>1403</v>
      </c>
    </row>
    <row r="222" spans="2:8" x14ac:dyDescent="0.2">
      <c r="B222" s="3">
        <v>45664</v>
      </c>
      <c r="C222" s="1">
        <v>47</v>
      </c>
      <c r="D222" s="1">
        <v>1560</v>
      </c>
      <c r="E222" s="1">
        <v>129</v>
      </c>
      <c r="F222" s="1">
        <v>1152</v>
      </c>
      <c r="G222" s="1">
        <v>27</v>
      </c>
      <c r="H222" s="1">
        <v>1440</v>
      </c>
    </row>
    <row r="223" spans="2:8" x14ac:dyDescent="0.2">
      <c r="B223" s="3">
        <v>45678</v>
      </c>
      <c r="C223" s="1">
        <v>66</v>
      </c>
      <c r="D223" s="1">
        <v>1572</v>
      </c>
      <c r="E223" s="1">
        <v>121</v>
      </c>
      <c r="F223" s="1">
        <v>1196</v>
      </c>
      <c r="G223" s="1">
        <v>32</v>
      </c>
      <c r="H223" s="1">
        <v>1470</v>
      </c>
    </row>
    <row r="224" spans="2:8" x14ac:dyDescent="0.2">
      <c r="B224" s="3">
        <v>45692</v>
      </c>
      <c r="C224" s="1">
        <v>71</v>
      </c>
      <c r="D224" s="1">
        <v>1565</v>
      </c>
      <c r="E224" s="1">
        <v>115</v>
      </c>
      <c r="F224" s="1">
        <v>1134</v>
      </c>
      <c r="G224" s="1">
        <v>26</v>
      </c>
      <c r="H224" s="1">
        <v>1407</v>
      </c>
    </row>
    <row r="225" spans="2:8" x14ac:dyDescent="0.2">
      <c r="B225" s="3">
        <v>45706</v>
      </c>
      <c r="C225" s="1">
        <v>63</v>
      </c>
      <c r="D225" s="1">
        <v>1573</v>
      </c>
      <c r="E225" s="1">
        <v>96</v>
      </c>
      <c r="F225" s="1">
        <v>1087</v>
      </c>
      <c r="G225" s="1">
        <v>27</v>
      </c>
      <c r="H225" s="1">
        <v>1421</v>
      </c>
    </row>
    <row r="226" spans="2:8" x14ac:dyDescent="0.2">
      <c r="B226" s="3">
        <v>45720</v>
      </c>
      <c r="C226" s="1">
        <v>62</v>
      </c>
      <c r="D226" s="1">
        <v>1628</v>
      </c>
      <c r="E226" s="1">
        <v>113</v>
      </c>
      <c r="F226" s="1">
        <v>1081</v>
      </c>
      <c r="G226" s="1">
        <v>28</v>
      </c>
      <c r="H226" s="1">
        <v>1449</v>
      </c>
    </row>
    <row r="227" spans="2:8" x14ac:dyDescent="0.2">
      <c r="B227" s="3">
        <v>45734</v>
      </c>
      <c r="C227" s="1">
        <v>78</v>
      </c>
      <c r="D227" s="1">
        <v>1753</v>
      </c>
      <c r="E227" s="1">
        <v>142</v>
      </c>
      <c r="F227" s="1">
        <v>1198</v>
      </c>
      <c r="G227" s="1">
        <v>20</v>
      </c>
      <c r="H227" s="1">
        <v>1528</v>
      </c>
    </row>
    <row r="228" spans="2:8" x14ac:dyDescent="0.2">
      <c r="B228" s="3">
        <v>45748</v>
      </c>
      <c r="C228" s="1">
        <v>91</v>
      </c>
      <c r="D228" s="1">
        <v>1871</v>
      </c>
      <c r="E228" s="1">
        <v>133</v>
      </c>
      <c r="F228" s="1">
        <v>1229</v>
      </c>
      <c r="G228" s="1">
        <v>27</v>
      </c>
      <c r="H228" s="1">
        <v>1583</v>
      </c>
    </row>
    <row r="229" spans="2:8" x14ac:dyDescent="0.2">
      <c r="B229" s="3">
        <v>45762</v>
      </c>
      <c r="C229" s="1">
        <v>88</v>
      </c>
      <c r="D229" s="1">
        <v>1814</v>
      </c>
      <c r="E229" s="1">
        <v>126</v>
      </c>
      <c r="F229" s="1">
        <v>1278</v>
      </c>
      <c r="G229" s="1">
        <v>26</v>
      </c>
      <c r="H229" s="1">
        <v>1612</v>
      </c>
    </row>
    <row r="230" spans="2:8" x14ac:dyDescent="0.2">
      <c r="B230" s="3">
        <v>45783</v>
      </c>
      <c r="C230" s="1">
        <v>71</v>
      </c>
      <c r="D230" s="1">
        <v>1947</v>
      </c>
      <c r="E230" s="1">
        <v>134</v>
      </c>
      <c r="F230" s="1">
        <v>1341</v>
      </c>
      <c r="G230" s="1">
        <v>23</v>
      </c>
      <c r="H230" s="1">
        <v>1660</v>
      </c>
    </row>
    <row r="231" spans="2:8" x14ac:dyDescent="0.2">
      <c r="B231" s="3">
        <v>45790</v>
      </c>
      <c r="C231" s="1">
        <v>78</v>
      </c>
      <c r="D231" s="1">
        <v>2021</v>
      </c>
      <c r="E231" s="1">
        <v>145</v>
      </c>
      <c r="F231" s="1">
        <v>1366</v>
      </c>
      <c r="G231" s="1">
        <v>23</v>
      </c>
      <c r="H231" s="1">
        <v>1702</v>
      </c>
    </row>
    <row r="232" spans="2:8" x14ac:dyDescent="0.2">
      <c r="B232" s="3">
        <v>45804</v>
      </c>
      <c r="C232" s="1">
        <v>78</v>
      </c>
      <c r="D232" s="1">
        <v>1988</v>
      </c>
      <c r="E232" s="1">
        <v>138</v>
      </c>
      <c r="F232" s="1">
        <v>1345</v>
      </c>
      <c r="G232" s="1">
        <v>20</v>
      </c>
      <c r="H232" s="1">
        <v>1667</v>
      </c>
    </row>
    <row r="233" spans="2:8" x14ac:dyDescent="0.2">
      <c r="B233" s="3">
        <v>45818</v>
      </c>
      <c r="C233" s="1">
        <v>61</v>
      </c>
      <c r="D233" s="1">
        <v>1995</v>
      </c>
      <c r="E233" s="1">
        <v>133</v>
      </c>
      <c r="F233" s="1">
        <v>1365</v>
      </c>
      <c r="G233" s="1">
        <v>25</v>
      </c>
      <c r="H233" s="1">
        <v>1652</v>
      </c>
    </row>
    <row r="234" spans="2:8" x14ac:dyDescent="0.2">
      <c r="B234" s="3">
        <v>45832</v>
      </c>
      <c r="C234" s="1">
        <v>54</v>
      </c>
      <c r="D234" s="1">
        <v>1970</v>
      </c>
      <c r="E234" s="1">
        <v>140</v>
      </c>
      <c r="F234" s="1">
        <v>1386</v>
      </c>
      <c r="G234" s="1">
        <v>25</v>
      </c>
      <c r="H234" s="1">
        <v>1668</v>
      </c>
    </row>
    <row r="235" spans="2:8" x14ac:dyDescent="0.2">
      <c r="B235" s="3">
        <v>45846</v>
      </c>
      <c r="C235" s="1">
        <v>54</v>
      </c>
      <c r="D235" s="1">
        <v>1902</v>
      </c>
      <c r="E235" s="1">
        <v>130</v>
      </c>
      <c r="F235" s="1">
        <v>1334</v>
      </c>
      <c r="G235" s="1">
        <v>28</v>
      </c>
      <c r="H235" s="1">
        <v>1676</v>
      </c>
    </row>
    <row r="236" spans="2:8" x14ac:dyDescent="0.2">
      <c r="B236" s="3">
        <v>45860</v>
      </c>
      <c r="C236" s="1">
        <v>55</v>
      </c>
      <c r="D236" s="1">
        <v>1816</v>
      </c>
      <c r="E236" s="1">
        <v>116</v>
      </c>
      <c r="F236" s="1">
        <v>1272</v>
      </c>
      <c r="G236" s="1">
        <v>30</v>
      </c>
      <c r="H236" s="1">
        <v>1708</v>
      </c>
    </row>
    <row r="237" spans="2:8" x14ac:dyDescent="0.2">
      <c r="B237" s="3">
        <v>45874</v>
      </c>
      <c r="C237" s="1">
        <v>54</v>
      </c>
      <c r="D237" s="1">
        <v>1705</v>
      </c>
      <c r="E237" s="1">
        <v>143</v>
      </c>
      <c r="F237" s="1">
        <v>1289</v>
      </c>
      <c r="G237" s="1">
        <v>27</v>
      </c>
      <c r="H237" s="1">
        <v>1679</v>
      </c>
    </row>
    <row r="238" spans="2:8" x14ac:dyDescent="0.2">
      <c r="B238" s="3">
        <v>45888</v>
      </c>
      <c r="C238" s="1">
        <v>70</v>
      </c>
      <c r="D238" s="1">
        <v>1709</v>
      </c>
      <c r="E238" s="1">
        <v>128</v>
      </c>
      <c r="F238" s="1">
        <v>1310</v>
      </c>
      <c r="G238" s="1">
        <v>33</v>
      </c>
      <c r="H238" s="1">
        <v>1658</v>
      </c>
    </row>
    <row r="239" spans="2:8" x14ac:dyDescent="0.2">
      <c r="B239" s="3">
        <v>45902</v>
      </c>
      <c r="C239" s="1">
        <v>68</v>
      </c>
      <c r="D239" s="1">
        <v>1632</v>
      </c>
      <c r="E239" s="1">
        <v>113</v>
      </c>
      <c r="F239" s="1">
        <v>1241</v>
      </c>
      <c r="G239" s="1">
        <v>33</v>
      </c>
      <c r="H239" s="1">
        <v>1658</v>
      </c>
    </row>
    <row r="240" spans="2:8" x14ac:dyDescent="0.2">
      <c r="B240" s="3">
        <v>45916</v>
      </c>
      <c r="C240" s="1">
        <v>69</v>
      </c>
      <c r="D240" s="1">
        <v>1667</v>
      </c>
      <c r="E240" s="1">
        <v>141</v>
      </c>
      <c r="F240" s="1">
        <v>1258</v>
      </c>
      <c r="G240" s="1">
        <v>43</v>
      </c>
      <c r="H240" s="1">
        <v>1754</v>
      </c>
    </row>
    <row r="241" spans="2:8" x14ac:dyDescent="0.2">
      <c r="B241" s="3">
        <v>45930</v>
      </c>
      <c r="C241" s="1">
        <v>64</v>
      </c>
      <c r="D241" s="1">
        <v>1665</v>
      </c>
      <c r="E241" s="1">
        <v>153</v>
      </c>
      <c r="F241" s="1">
        <v>1346</v>
      </c>
      <c r="G241" s="1">
        <v>29</v>
      </c>
      <c r="H241" s="1">
        <v>1811</v>
      </c>
    </row>
    <row r="242" spans="2:8" x14ac:dyDescent="0.2">
      <c r="B242" s="3">
        <v>45944</v>
      </c>
      <c r="C242" s="1">
        <v>68</v>
      </c>
      <c r="D242" s="1">
        <v>1775</v>
      </c>
      <c r="E242" s="1">
        <v>176</v>
      </c>
      <c r="F242" s="1">
        <v>1435</v>
      </c>
      <c r="G242" s="1">
        <v>29</v>
      </c>
      <c r="H242" s="1">
        <v>1890</v>
      </c>
    </row>
    <row r="243" spans="2:8" x14ac:dyDescent="0.2">
      <c r="B243" s="3">
        <v>45958</v>
      </c>
      <c r="C243" s="1">
        <v>74</v>
      </c>
      <c r="D243" s="1">
        <v>1919</v>
      </c>
      <c r="E243" s="1">
        <v>186</v>
      </c>
      <c r="F243" s="1">
        <v>1465</v>
      </c>
      <c r="G243" s="1">
        <v>34</v>
      </c>
      <c r="H243" s="1">
        <v>1923</v>
      </c>
    </row>
    <row r="244" spans="2:8" x14ac:dyDescent="0.2">
      <c r="B244" s="3">
        <v>45986</v>
      </c>
      <c r="C244" s="1">
        <v>67</v>
      </c>
      <c r="D244" s="1">
        <v>1953</v>
      </c>
      <c r="E244" s="1">
        <v>184</v>
      </c>
      <c r="F244" s="1">
        <v>1527</v>
      </c>
      <c r="G244" s="1">
        <v>42</v>
      </c>
      <c r="H244" s="1">
        <v>2009</v>
      </c>
    </row>
    <row r="245" spans="2:8" x14ac:dyDescent="0.2">
      <c r="B245" s="3">
        <v>46000</v>
      </c>
      <c r="C245" s="1">
        <v>74</v>
      </c>
      <c r="D245" s="1">
        <v>1924</v>
      </c>
      <c r="E245" s="1">
        <v>181</v>
      </c>
      <c r="F245" s="1">
        <v>1501</v>
      </c>
      <c r="G245" s="1">
        <v>44</v>
      </c>
      <c r="H245" s="1">
        <v>2069</v>
      </c>
    </row>
    <row r="246" spans="2:8" x14ac:dyDescent="0.2">
      <c r="B246" s="3">
        <v>46021</v>
      </c>
      <c r="C246" s="1">
        <v>75</v>
      </c>
      <c r="D246" s="1">
        <v>1862</v>
      </c>
      <c r="E246" s="1">
        <v>141</v>
      </c>
      <c r="F246" s="1">
        <v>1389</v>
      </c>
      <c r="G246" s="1">
        <v>30</v>
      </c>
      <c r="H246" s="1">
        <v>1943</v>
      </c>
    </row>
    <row r="247" spans="2:8" x14ac:dyDescent="0.2">
      <c r="B247" s="3">
        <v>46028</v>
      </c>
      <c r="C247" s="1">
        <v>81</v>
      </c>
      <c r="D247" s="1">
        <v>1877</v>
      </c>
      <c r="E247" s="1">
        <v>161</v>
      </c>
      <c r="F247" s="1">
        <v>1436</v>
      </c>
      <c r="G247" s="1">
        <v>35</v>
      </c>
      <c r="H247" s="1">
        <v>1965</v>
      </c>
    </row>
    <row r="248" spans="2:8" x14ac:dyDescent="0.2">
      <c r="B248" s="3">
        <v>46042</v>
      </c>
      <c r="C248" s="1">
        <v>73</v>
      </c>
      <c r="D248" s="1">
        <v>1804</v>
      </c>
      <c r="E248" s="1">
        <v>147</v>
      </c>
      <c r="F248" s="1">
        <v>1364</v>
      </c>
      <c r="G248" s="1">
        <v>41</v>
      </c>
      <c r="H248" s="1">
        <v>1945</v>
      </c>
    </row>
    <row r="249" spans="2:8" x14ac:dyDescent="0.2">
      <c r="B249" s="3">
        <v>46056</v>
      </c>
      <c r="C249" s="1">
        <v>81</v>
      </c>
      <c r="D249" s="1">
        <v>1733</v>
      </c>
      <c r="E249" s="1">
        <v>140</v>
      </c>
      <c r="F249" s="1">
        <v>1298</v>
      </c>
      <c r="G249" s="1">
        <v>38</v>
      </c>
      <c r="H249" s="1">
        <v>1803</v>
      </c>
    </row>
    <row r="250" spans="2:8" x14ac:dyDescent="0.2">
      <c r="B250" s="3">
        <v>46070</v>
      </c>
      <c r="C250" s="1">
        <v>74</v>
      </c>
      <c r="D250" s="1">
        <v>1655</v>
      </c>
      <c r="E250" s="1">
        <v>141</v>
      </c>
      <c r="F250" s="1">
        <v>1224</v>
      </c>
      <c r="G250" s="1">
        <v>40</v>
      </c>
      <c r="H250" s="1">
        <v>1610</v>
      </c>
    </row>
    <row r="251" spans="2:8" x14ac:dyDescent="0.2">
      <c r="B251" s="3">
        <v>46084</v>
      </c>
      <c r="C251" s="1">
        <v>84</v>
      </c>
      <c r="D251" s="1">
        <v>1643</v>
      </c>
      <c r="E251" s="1">
        <v>123</v>
      </c>
      <c r="F251" s="1">
        <v>1179</v>
      </c>
      <c r="G251" s="1">
        <v>27</v>
      </c>
      <c r="H251" s="1">
        <v>1581</v>
      </c>
    </row>
  </sheetData>
  <mergeCells count="3">
    <mergeCell ref="C7:D7"/>
    <mergeCell ref="E7:F7"/>
    <mergeCell ref="G7:H7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8697-D3BB-654E-B4F1-2A9FCEFEFE07}">
  <dimension ref="B2:D159"/>
  <sheetViews>
    <sheetView topLeftCell="A141" workbookViewId="0">
      <selection activeCell="B155" sqref="B155:B159"/>
    </sheetView>
  </sheetViews>
  <sheetFormatPr baseColWidth="10" defaultRowHeight="16" x14ac:dyDescent="0.2"/>
  <cols>
    <col min="4" max="4" width="12.5703125" customWidth="1"/>
  </cols>
  <sheetData>
    <row r="2" spans="2:4" s="1" customFormat="1" x14ac:dyDescent="0.2">
      <c r="B2" s="1" t="s">
        <v>1</v>
      </c>
      <c r="C2" s="1" t="s">
        <v>562</v>
      </c>
    </row>
    <row r="3" spans="2:4" s="1" customFormat="1" x14ac:dyDescent="0.2">
      <c r="B3" s="1" t="s">
        <v>85</v>
      </c>
      <c r="C3" s="7" t="s">
        <v>134</v>
      </c>
    </row>
    <row r="4" spans="2:4" s="1" customFormat="1" x14ac:dyDescent="0.2">
      <c r="B4" s="1" t="s">
        <v>87</v>
      </c>
      <c r="C4" s="1" t="s">
        <v>563</v>
      </c>
    </row>
    <row r="5" spans="2:4" s="1" customFormat="1" x14ac:dyDescent="0.2">
      <c r="B5" s="1" t="s">
        <v>89</v>
      </c>
    </row>
    <row r="7" spans="2:4" x14ac:dyDescent="0.2">
      <c r="B7" s="164" t="s">
        <v>379</v>
      </c>
      <c r="C7" s="165" t="s">
        <v>559</v>
      </c>
      <c r="D7" s="165" t="s">
        <v>560</v>
      </c>
    </row>
    <row r="8" spans="2:4" x14ac:dyDescent="0.2">
      <c r="B8" s="180">
        <v>43368</v>
      </c>
      <c r="C8" s="166">
        <v>23280</v>
      </c>
      <c r="D8" s="166">
        <v>13918</v>
      </c>
    </row>
    <row r="9" spans="2:4" x14ac:dyDescent="0.2">
      <c r="B9" s="176">
        <v>43498</v>
      </c>
      <c r="C9" s="168">
        <v>24289</v>
      </c>
      <c r="D9" s="168">
        <v>16125</v>
      </c>
    </row>
    <row r="10" spans="2:4" x14ac:dyDescent="0.2">
      <c r="B10" s="177">
        <v>43528</v>
      </c>
      <c r="C10" s="166">
        <v>24609</v>
      </c>
      <c r="D10" s="166">
        <v>14320</v>
      </c>
    </row>
    <row r="11" spans="2:4" x14ac:dyDescent="0.2">
      <c r="B11" s="176">
        <v>43556</v>
      </c>
      <c r="C11" s="168">
        <v>24121</v>
      </c>
      <c r="D11" s="168">
        <v>13191</v>
      </c>
    </row>
    <row r="12" spans="2:4" x14ac:dyDescent="0.2">
      <c r="B12" s="177">
        <v>43589</v>
      </c>
      <c r="C12" s="166">
        <v>24694</v>
      </c>
      <c r="D12" s="166">
        <v>14681</v>
      </c>
    </row>
    <row r="13" spans="2:4" x14ac:dyDescent="0.2">
      <c r="B13" s="176">
        <v>43677</v>
      </c>
      <c r="C13" s="168">
        <v>27434</v>
      </c>
      <c r="D13" s="168">
        <v>20665</v>
      </c>
    </row>
    <row r="14" spans="2:4" x14ac:dyDescent="0.2">
      <c r="B14" s="177">
        <v>43753</v>
      </c>
      <c r="C14" s="166">
        <v>17817</v>
      </c>
      <c r="D14" s="166">
        <v>19868</v>
      </c>
    </row>
    <row r="15" spans="2:4" x14ac:dyDescent="0.2">
      <c r="B15" s="176">
        <v>43937</v>
      </c>
      <c r="C15" s="168">
        <v>27909</v>
      </c>
      <c r="D15" s="168">
        <v>5754</v>
      </c>
    </row>
    <row r="16" spans="2:4" x14ac:dyDescent="0.2">
      <c r="B16" s="177">
        <v>43961</v>
      </c>
      <c r="C16" s="166">
        <v>28466</v>
      </c>
      <c r="D16" s="166">
        <v>6058</v>
      </c>
    </row>
    <row r="17" spans="2:4" x14ac:dyDescent="0.2">
      <c r="B17" s="176">
        <v>44003</v>
      </c>
      <c r="C17" s="168">
        <v>40821</v>
      </c>
      <c r="D17" s="168">
        <v>8395</v>
      </c>
    </row>
    <row r="18" spans="2:4" x14ac:dyDescent="0.2">
      <c r="B18" s="177">
        <v>44092</v>
      </c>
      <c r="C18" s="166">
        <v>37674</v>
      </c>
      <c r="D18" s="166">
        <v>10375</v>
      </c>
    </row>
    <row r="19" spans="2:4" x14ac:dyDescent="0.2">
      <c r="B19" s="176">
        <v>44115</v>
      </c>
      <c r="C19" s="168">
        <v>37519</v>
      </c>
      <c r="D19" s="168">
        <v>8427</v>
      </c>
    </row>
    <row r="20" spans="2:4" x14ac:dyDescent="0.2">
      <c r="B20" s="177">
        <v>44137</v>
      </c>
      <c r="C20" s="166">
        <v>36817</v>
      </c>
      <c r="D20" s="166">
        <v>6751</v>
      </c>
    </row>
    <row r="21" spans="2:4" x14ac:dyDescent="0.2">
      <c r="B21" s="176">
        <v>44138</v>
      </c>
      <c r="C21" s="168">
        <v>36748</v>
      </c>
      <c r="D21" s="168">
        <v>6648</v>
      </c>
    </row>
    <row r="22" spans="2:4" x14ac:dyDescent="0.2">
      <c r="B22" s="177">
        <v>44153</v>
      </c>
      <c r="C22" s="166">
        <v>36811</v>
      </c>
      <c r="D22" s="166">
        <v>6082</v>
      </c>
    </row>
    <row r="23" spans="2:4" x14ac:dyDescent="0.2">
      <c r="B23" s="176">
        <v>44167</v>
      </c>
      <c r="C23" s="168">
        <v>35348</v>
      </c>
      <c r="D23" s="168">
        <v>5784</v>
      </c>
    </row>
    <row r="24" spans="2:4" x14ac:dyDescent="0.2">
      <c r="B24" s="177">
        <v>44180</v>
      </c>
      <c r="C24" s="166">
        <v>33902</v>
      </c>
      <c r="D24" s="166">
        <v>5946</v>
      </c>
    </row>
    <row r="25" spans="2:4" x14ac:dyDescent="0.2">
      <c r="B25" s="176">
        <v>44208</v>
      </c>
      <c r="C25" s="168">
        <v>32538</v>
      </c>
      <c r="D25" s="168">
        <v>6074</v>
      </c>
    </row>
    <row r="26" spans="2:4" x14ac:dyDescent="0.2">
      <c r="B26" s="177">
        <v>44223</v>
      </c>
      <c r="C26" s="166">
        <v>34274</v>
      </c>
      <c r="D26" s="166">
        <v>6032</v>
      </c>
    </row>
    <row r="27" spans="2:4" x14ac:dyDescent="0.2">
      <c r="B27" s="176">
        <v>44250</v>
      </c>
      <c r="C27" s="168">
        <v>34849</v>
      </c>
      <c r="D27" s="168">
        <v>5934</v>
      </c>
    </row>
    <row r="28" spans="2:4" x14ac:dyDescent="0.2">
      <c r="B28" s="177">
        <v>44264</v>
      </c>
      <c r="C28" s="166">
        <v>34958</v>
      </c>
      <c r="D28" s="166">
        <v>6389</v>
      </c>
    </row>
    <row r="29" spans="2:4" x14ac:dyDescent="0.2">
      <c r="B29" s="176">
        <v>44278</v>
      </c>
      <c r="C29" s="168">
        <v>33668</v>
      </c>
      <c r="D29" s="168">
        <v>6558</v>
      </c>
    </row>
    <row r="30" spans="2:4" x14ac:dyDescent="0.2">
      <c r="B30" s="177">
        <v>44292</v>
      </c>
      <c r="C30" s="166">
        <v>32335</v>
      </c>
      <c r="D30" s="166">
        <v>6807</v>
      </c>
    </row>
    <row r="31" spans="2:4" x14ac:dyDescent="0.2">
      <c r="B31" s="176">
        <v>44306</v>
      </c>
      <c r="C31" s="168">
        <v>30988</v>
      </c>
      <c r="D31" s="168">
        <v>7172</v>
      </c>
    </row>
    <row r="32" spans="2:4" x14ac:dyDescent="0.2">
      <c r="B32" s="177">
        <v>44320</v>
      </c>
      <c r="C32" s="166">
        <v>30023</v>
      </c>
      <c r="D32" s="166">
        <v>7534</v>
      </c>
    </row>
    <row r="33" spans="2:4" x14ac:dyDescent="0.2">
      <c r="B33" s="176">
        <v>44334</v>
      </c>
      <c r="C33" s="168">
        <v>29176</v>
      </c>
      <c r="D33" s="168">
        <v>8296</v>
      </c>
    </row>
    <row r="34" spans="2:4" x14ac:dyDescent="0.2">
      <c r="B34" s="177">
        <v>44348</v>
      </c>
      <c r="C34" s="166">
        <v>28180</v>
      </c>
      <c r="D34" s="166">
        <v>8784</v>
      </c>
    </row>
    <row r="35" spans="2:4" x14ac:dyDescent="0.2">
      <c r="B35" s="176">
        <v>44362</v>
      </c>
      <c r="C35" s="168">
        <v>27553</v>
      </c>
      <c r="D35" s="168">
        <v>9407</v>
      </c>
    </row>
    <row r="36" spans="2:4" x14ac:dyDescent="0.2">
      <c r="B36" s="177">
        <v>44376</v>
      </c>
      <c r="C36" s="166">
        <v>26546</v>
      </c>
      <c r="D36" s="166">
        <v>10160</v>
      </c>
    </row>
    <row r="37" spans="2:4" x14ac:dyDescent="0.2">
      <c r="B37" s="176">
        <v>44390</v>
      </c>
      <c r="C37" s="168">
        <v>25539</v>
      </c>
      <c r="D37" s="168">
        <v>10859</v>
      </c>
    </row>
    <row r="38" spans="2:4" x14ac:dyDescent="0.2">
      <c r="B38" s="177">
        <v>44404</v>
      </c>
      <c r="C38" s="166">
        <v>24136</v>
      </c>
      <c r="D38" s="166">
        <v>11871</v>
      </c>
    </row>
    <row r="39" spans="2:4" x14ac:dyDescent="0.2">
      <c r="B39" s="176">
        <v>44419</v>
      </c>
      <c r="C39" s="168">
        <v>22322</v>
      </c>
      <c r="D39" s="168">
        <v>13389</v>
      </c>
    </row>
    <row r="40" spans="2:4" x14ac:dyDescent="0.2">
      <c r="B40" s="177">
        <v>44432</v>
      </c>
      <c r="C40" s="166">
        <v>19422</v>
      </c>
      <c r="D40" s="166">
        <v>14653</v>
      </c>
    </row>
    <row r="41" spans="2:4" x14ac:dyDescent="0.2">
      <c r="B41" s="176">
        <v>44446</v>
      </c>
      <c r="C41" s="168">
        <v>16482</v>
      </c>
      <c r="D41" s="168">
        <v>15513</v>
      </c>
    </row>
    <row r="42" spans="2:4" x14ac:dyDescent="0.2">
      <c r="B42" s="177">
        <v>44460</v>
      </c>
      <c r="C42" s="166">
        <v>14040</v>
      </c>
      <c r="D42" s="166">
        <v>15939</v>
      </c>
    </row>
    <row r="43" spans="2:4" x14ac:dyDescent="0.2">
      <c r="B43" s="176">
        <v>44474</v>
      </c>
      <c r="C43" s="168">
        <v>13021</v>
      </c>
      <c r="D43" s="168">
        <v>15645</v>
      </c>
    </row>
    <row r="44" spans="2:4" x14ac:dyDescent="0.2">
      <c r="B44" s="177">
        <v>44488</v>
      </c>
      <c r="C44" s="166">
        <v>12212</v>
      </c>
      <c r="D44" s="166">
        <v>14982</v>
      </c>
    </row>
    <row r="45" spans="2:4" x14ac:dyDescent="0.2">
      <c r="B45" s="176">
        <v>44502</v>
      </c>
      <c r="C45" s="168">
        <v>11362</v>
      </c>
      <c r="D45" s="168">
        <v>13715</v>
      </c>
    </row>
    <row r="46" spans="2:4" x14ac:dyDescent="0.2">
      <c r="B46" s="177">
        <v>44516</v>
      </c>
      <c r="C46" s="166">
        <v>11531</v>
      </c>
      <c r="D46" s="166">
        <v>12778</v>
      </c>
    </row>
    <row r="47" spans="2:4" x14ac:dyDescent="0.2">
      <c r="B47" s="176">
        <v>44530</v>
      </c>
      <c r="C47" s="168">
        <v>11356</v>
      </c>
      <c r="D47" s="168">
        <v>11774</v>
      </c>
    </row>
    <row r="48" spans="2:4" x14ac:dyDescent="0.2">
      <c r="B48" s="177">
        <v>44544</v>
      </c>
      <c r="C48" s="166">
        <v>10719</v>
      </c>
      <c r="D48" s="166">
        <v>11128</v>
      </c>
    </row>
    <row r="49" spans="2:4" x14ac:dyDescent="0.2">
      <c r="B49" s="176">
        <v>44559</v>
      </c>
      <c r="C49" s="168">
        <v>9762</v>
      </c>
      <c r="D49" s="168">
        <v>10077</v>
      </c>
    </row>
    <row r="50" spans="2:4" x14ac:dyDescent="0.2">
      <c r="B50" s="177">
        <v>44572</v>
      </c>
      <c r="C50" s="166">
        <v>10840</v>
      </c>
      <c r="D50" s="166">
        <v>11393</v>
      </c>
    </row>
    <row r="51" spans="2:4" x14ac:dyDescent="0.2">
      <c r="B51" s="176">
        <v>44586</v>
      </c>
      <c r="C51" s="168">
        <v>10999</v>
      </c>
      <c r="D51" s="168">
        <v>13103</v>
      </c>
    </row>
    <row r="52" spans="2:4" x14ac:dyDescent="0.2">
      <c r="B52" s="177">
        <v>44600</v>
      </c>
      <c r="C52" s="166">
        <v>10921</v>
      </c>
      <c r="D52" s="166">
        <v>13621</v>
      </c>
    </row>
    <row r="53" spans="2:4" x14ac:dyDescent="0.2">
      <c r="B53" s="176">
        <v>44614</v>
      </c>
      <c r="C53" s="168">
        <v>10322</v>
      </c>
      <c r="D53" s="168">
        <v>13721</v>
      </c>
    </row>
    <row r="54" spans="2:4" x14ac:dyDescent="0.2">
      <c r="B54" s="177">
        <v>44628</v>
      </c>
      <c r="C54" s="166">
        <v>10553</v>
      </c>
      <c r="D54" s="166">
        <v>13581</v>
      </c>
    </row>
    <row r="55" spans="2:4" x14ac:dyDescent="0.2">
      <c r="B55" s="176">
        <v>44642</v>
      </c>
      <c r="C55" s="168">
        <v>10317</v>
      </c>
      <c r="D55" s="168">
        <v>13403</v>
      </c>
    </row>
    <row r="56" spans="2:4" x14ac:dyDescent="0.2">
      <c r="B56" s="177">
        <v>44656</v>
      </c>
      <c r="C56" s="166">
        <v>10177</v>
      </c>
      <c r="D56" s="166">
        <v>13063</v>
      </c>
    </row>
    <row r="57" spans="2:4" x14ac:dyDescent="0.2">
      <c r="B57" s="176">
        <v>44670</v>
      </c>
      <c r="C57" s="168">
        <v>10200</v>
      </c>
      <c r="D57" s="168">
        <v>12991</v>
      </c>
    </row>
    <row r="58" spans="2:4" x14ac:dyDescent="0.2">
      <c r="B58" s="177">
        <v>44684</v>
      </c>
      <c r="C58" s="166">
        <v>10188</v>
      </c>
      <c r="D58" s="166">
        <v>13197</v>
      </c>
    </row>
    <row r="59" spans="2:4" x14ac:dyDescent="0.2">
      <c r="B59" s="176">
        <v>44698</v>
      </c>
      <c r="C59" s="168">
        <v>10825</v>
      </c>
      <c r="D59" s="168">
        <v>13715</v>
      </c>
    </row>
    <row r="60" spans="2:4" x14ac:dyDescent="0.2">
      <c r="B60" s="177">
        <v>44712</v>
      </c>
      <c r="C60" s="166">
        <v>10796</v>
      </c>
      <c r="D60" s="166">
        <v>14099</v>
      </c>
    </row>
    <row r="61" spans="2:4" x14ac:dyDescent="0.2">
      <c r="B61" s="176">
        <v>44726</v>
      </c>
      <c r="C61" s="168">
        <v>11078</v>
      </c>
      <c r="D61" s="168">
        <v>14718</v>
      </c>
    </row>
    <row r="62" spans="2:4" x14ac:dyDescent="0.2">
      <c r="B62" s="177">
        <v>44754</v>
      </c>
      <c r="C62" s="166">
        <v>11001</v>
      </c>
      <c r="D62" s="166">
        <v>16491</v>
      </c>
    </row>
    <row r="63" spans="2:4" x14ac:dyDescent="0.2">
      <c r="B63" s="176">
        <v>44768</v>
      </c>
      <c r="C63" s="168">
        <v>10614</v>
      </c>
      <c r="D63" s="168">
        <v>17901</v>
      </c>
    </row>
    <row r="64" spans="2:4" x14ac:dyDescent="0.2">
      <c r="B64" s="177">
        <v>44782</v>
      </c>
      <c r="C64" s="166">
        <v>9787</v>
      </c>
      <c r="D64" s="166">
        <v>20734</v>
      </c>
    </row>
    <row r="65" spans="2:4" x14ac:dyDescent="0.2">
      <c r="B65" s="176">
        <v>44796</v>
      </c>
      <c r="C65" s="168">
        <v>8281</v>
      </c>
      <c r="D65" s="168">
        <v>23057</v>
      </c>
    </row>
    <row r="66" spans="2:4" x14ac:dyDescent="0.2">
      <c r="B66" s="177">
        <v>44810</v>
      </c>
      <c r="C66" s="166">
        <v>7104</v>
      </c>
      <c r="D66" s="166">
        <v>24495</v>
      </c>
    </row>
    <row r="67" spans="2:4" x14ac:dyDescent="0.2">
      <c r="B67" s="176">
        <v>44824</v>
      </c>
      <c r="C67" s="168">
        <v>6274</v>
      </c>
      <c r="D67" s="168">
        <v>25295</v>
      </c>
    </row>
    <row r="68" spans="2:4" x14ac:dyDescent="0.2">
      <c r="B68" s="177">
        <v>44838</v>
      </c>
      <c r="C68" s="166">
        <v>5778</v>
      </c>
      <c r="D68" s="166">
        <v>24604</v>
      </c>
    </row>
    <row r="69" spans="2:4" x14ac:dyDescent="0.2">
      <c r="B69" s="176">
        <v>44853</v>
      </c>
      <c r="C69" s="168">
        <v>6045</v>
      </c>
      <c r="D69" s="168">
        <v>22312</v>
      </c>
    </row>
    <row r="70" spans="2:4" x14ac:dyDescent="0.2">
      <c r="B70" s="177">
        <v>44866</v>
      </c>
      <c r="C70" s="166">
        <v>6409</v>
      </c>
      <c r="D70" s="166">
        <v>19487</v>
      </c>
    </row>
    <row r="71" spans="2:4" x14ac:dyDescent="0.2">
      <c r="B71" s="176">
        <v>44880</v>
      </c>
      <c r="C71" s="168">
        <v>7425</v>
      </c>
      <c r="D71" s="168">
        <v>17313</v>
      </c>
    </row>
    <row r="72" spans="2:4" x14ac:dyDescent="0.2">
      <c r="B72" s="177">
        <v>44894</v>
      </c>
      <c r="C72" s="166">
        <v>8059</v>
      </c>
      <c r="D72" s="166">
        <v>15750</v>
      </c>
    </row>
    <row r="73" spans="2:4" x14ac:dyDescent="0.2">
      <c r="B73" s="176">
        <v>44908</v>
      </c>
      <c r="C73" s="168">
        <v>8538</v>
      </c>
      <c r="D73" s="168">
        <v>14319</v>
      </c>
    </row>
    <row r="74" spans="2:4" x14ac:dyDescent="0.2">
      <c r="B74" s="177">
        <v>44925</v>
      </c>
      <c r="C74" s="166">
        <v>7931</v>
      </c>
      <c r="D74" s="166">
        <v>13090</v>
      </c>
    </row>
    <row r="75" spans="2:4" x14ac:dyDescent="0.2">
      <c r="B75" s="176">
        <v>44936</v>
      </c>
      <c r="C75" s="168">
        <v>8877</v>
      </c>
      <c r="D75" s="168">
        <v>14119</v>
      </c>
    </row>
    <row r="76" spans="2:4" x14ac:dyDescent="0.2">
      <c r="B76" s="177">
        <v>44950</v>
      </c>
      <c r="C76" s="166">
        <v>9425</v>
      </c>
      <c r="D76" s="166">
        <v>15745</v>
      </c>
    </row>
    <row r="77" spans="2:4" x14ac:dyDescent="0.2">
      <c r="B77" s="176">
        <v>44964</v>
      </c>
      <c r="C77" s="168">
        <v>9899</v>
      </c>
      <c r="D77" s="168">
        <v>16079</v>
      </c>
    </row>
    <row r="78" spans="2:4" x14ac:dyDescent="0.2">
      <c r="B78" s="177">
        <v>44978</v>
      </c>
      <c r="C78" s="166">
        <v>9991</v>
      </c>
      <c r="D78" s="166">
        <v>15819</v>
      </c>
    </row>
    <row r="79" spans="2:4" x14ac:dyDescent="0.2">
      <c r="B79" s="176">
        <v>44992</v>
      </c>
      <c r="C79" s="168">
        <v>10394</v>
      </c>
      <c r="D79" s="168">
        <v>15608</v>
      </c>
    </row>
    <row r="80" spans="2:4" x14ac:dyDescent="0.2">
      <c r="B80" s="177">
        <v>45006</v>
      </c>
      <c r="C80" s="166">
        <v>10700</v>
      </c>
      <c r="D80" s="166">
        <v>16031</v>
      </c>
    </row>
    <row r="81" spans="2:4" x14ac:dyDescent="0.2">
      <c r="B81" s="176">
        <v>45020</v>
      </c>
      <c r="C81" s="168">
        <v>10924</v>
      </c>
      <c r="D81" s="168">
        <v>16135</v>
      </c>
    </row>
    <row r="82" spans="2:4" x14ac:dyDescent="0.2">
      <c r="B82" s="177">
        <v>45034</v>
      </c>
      <c r="C82" s="166">
        <v>11132</v>
      </c>
      <c r="D82" s="166">
        <v>16200</v>
      </c>
    </row>
    <row r="83" spans="2:4" x14ac:dyDescent="0.2">
      <c r="B83" s="176">
        <v>45048</v>
      </c>
      <c r="C83" s="168">
        <v>11295</v>
      </c>
      <c r="D83" s="168">
        <v>16143</v>
      </c>
    </row>
    <row r="84" spans="2:4" x14ac:dyDescent="0.2">
      <c r="B84" s="177">
        <v>45062</v>
      </c>
      <c r="C84" s="166">
        <v>12360</v>
      </c>
      <c r="D84" s="166">
        <v>16635</v>
      </c>
    </row>
    <row r="85" spans="2:4" x14ac:dyDescent="0.2">
      <c r="B85" s="176">
        <v>45076</v>
      </c>
      <c r="C85" s="168">
        <v>12656</v>
      </c>
      <c r="D85" s="168">
        <v>17075</v>
      </c>
    </row>
    <row r="86" spans="2:4" x14ac:dyDescent="0.2">
      <c r="B86" s="177">
        <v>45090</v>
      </c>
      <c r="C86" s="166">
        <v>13385</v>
      </c>
      <c r="D86" s="166">
        <v>17334</v>
      </c>
    </row>
    <row r="87" spans="2:4" x14ac:dyDescent="0.2">
      <c r="B87" s="176">
        <v>45104</v>
      </c>
      <c r="C87" s="168">
        <v>13468</v>
      </c>
      <c r="D87" s="168">
        <v>17775</v>
      </c>
    </row>
    <row r="88" spans="2:4" x14ac:dyDescent="0.2">
      <c r="B88" s="177">
        <v>45118</v>
      </c>
      <c r="C88" s="166">
        <v>13777</v>
      </c>
      <c r="D88" s="166">
        <v>18720</v>
      </c>
    </row>
    <row r="89" spans="2:4" x14ac:dyDescent="0.2">
      <c r="B89" s="176">
        <v>45132</v>
      </c>
      <c r="C89" s="168">
        <v>13575</v>
      </c>
      <c r="D89" s="168">
        <v>20239</v>
      </c>
    </row>
    <row r="90" spans="2:4" x14ac:dyDescent="0.2">
      <c r="B90" s="177">
        <v>45146</v>
      </c>
      <c r="C90" s="166">
        <v>13488</v>
      </c>
      <c r="D90" s="166">
        <v>22034</v>
      </c>
    </row>
    <row r="91" spans="2:4" x14ac:dyDescent="0.2">
      <c r="B91" s="176">
        <v>45160</v>
      </c>
      <c r="C91" s="168">
        <v>12523</v>
      </c>
      <c r="D91" s="168">
        <v>23470</v>
      </c>
    </row>
    <row r="92" spans="2:4" x14ac:dyDescent="0.2">
      <c r="B92" s="177">
        <v>45174</v>
      </c>
      <c r="C92" s="166">
        <v>11323</v>
      </c>
      <c r="D92" s="166">
        <v>23557</v>
      </c>
    </row>
    <row r="93" spans="2:4" x14ac:dyDescent="0.2">
      <c r="B93" s="176">
        <v>45188</v>
      </c>
      <c r="C93" s="168">
        <v>10980</v>
      </c>
      <c r="D93" s="168">
        <v>23045</v>
      </c>
    </row>
    <row r="94" spans="2:4" x14ac:dyDescent="0.2">
      <c r="B94" s="177">
        <v>45202</v>
      </c>
      <c r="C94" s="166">
        <v>10945</v>
      </c>
      <c r="D94" s="166">
        <v>21497</v>
      </c>
    </row>
    <row r="95" spans="2:4" x14ac:dyDescent="0.2">
      <c r="B95" s="176">
        <v>45216</v>
      </c>
      <c r="C95" s="168">
        <v>11629</v>
      </c>
      <c r="D95" s="168">
        <v>19430</v>
      </c>
    </row>
    <row r="96" spans="2:4" x14ac:dyDescent="0.2">
      <c r="B96" s="177">
        <v>45230</v>
      </c>
      <c r="C96" s="166">
        <v>12103</v>
      </c>
      <c r="D96" s="166">
        <v>17174</v>
      </c>
    </row>
    <row r="97" spans="2:4" x14ac:dyDescent="0.2">
      <c r="B97" s="176">
        <v>45244</v>
      </c>
      <c r="C97" s="168">
        <v>13160</v>
      </c>
      <c r="D97" s="168">
        <v>15474</v>
      </c>
    </row>
    <row r="98" spans="2:4" x14ac:dyDescent="0.2">
      <c r="B98" s="177">
        <v>45258</v>
      </c>
      <c r="C98" s="166">
        <v>14098</v>
      </c>
      <c r="D98" s="166">
        <v>14188</v>
      </c>
    </row>
    <row r="99" spans="2:4" x14ac:dyDescent="0.2">
      <c r="B99" s="176">
        <v>45273</v>
      </c>
      <c r="C99" s="168">
        <v>14498</v>
      </c>
      <c r="D99" s="168">
        <v>13303</v>
      </c>
    </row>
    <row r="100" spans="2:4" x14ac:dyDescent="0.2">
      <c r="B100" s="177">
        <v>45292</v>
      </c>
      <c r="C100" s="166">
        <v>13090</v>
      </c>
      <c r="D100" s="166">
        <v>12021</v>
      </c>
    </row>
    <row r="101" spans="2:4" x14ac:dyDescent="0.2">
      <c r="B101" s="176">
        <v>45300</v>
      </c>
      <c r="C101" s="168">
        <v>14418</v>
      </c>
      <c r="D101" s="168">
        <v>12808</v>
      </c>
    </row>
    <row r="102" spans="2:4" x14ac:dyDescent="0.2">
      <c r="B102" s="177">
        <v>45314</v>
      </c>
      <c r="C102" s="166">
        <v>15342</v>
      </c>
      <c r="D102" s="166">
        <v>13773</v>
      </c>
    </row>
    <row r="103" spans="2:4" x14ac:dyDescent="0.2">
      <c r="B103" s="176">
        <v>45328</v>
      </c>
      <c r="C103" s="168">
        <v>15952</v>
      </c>
      <c r="D103" s="168">
        <v>13478</v>
      </c>
    </row>
    <row r="104" spans="2:4" x14ac:dyDescent="0.2">
      <c r="B104" s="177">
        <v>45342</v>
      </c>
      <c r="C104" s="166">
        <v>16326</v>
      </c>
      <c r="D104" s="166">
        <v>12938</v>
      </c>
    </row>
    <row r="105" spans="2:4" x14ac:dyDescent="0.2">
      <c r="B105" s="176">
        <v>45356</v>
      </c>
      <c r="C105" s="168">
        <v>16790</v>
      </c>
      <c r="D105" s="168">
        <v>12519</v>
      </c>
    </row>
    <row r="106" spans="2:4" x14ac:dyDescent="0.2">
      <c r="B106" s="177">
        <v>45370</v>
      </c>
      <c r="C106" s="166">
        <v>17398</v>
      </c>
      <c r="D106" s="166">
        <v>12213</v>
      </c>
    </row>
    <row r="107" spans="2:4" x14ac:dyDescent="0.2">
      <c r="B107" s="176">
        <v>45384</v>
      </c>
      <c r="C107" s="168">
        <v>17232</v>
      </c>
      <c r="D107" s="168">
        <v>11788</v>
      </c>
    </row>
    <row r="108" spans="2:4" x14ac:dyDescent="0.2">
      <c r="B108" s="177">
        <v>45398</v>
      </c>
      <c r="C108" s="166">
        <v>17769</v>
      </c>
      <c r="D108" s="166">
        <v>11763</v>
      </c>
    </row>
    <row r="109" spans="2:4" x14ac:dyDescent="0.2">
      <c r="B109" s="176">
        <v>45426</v>
      </c>
      <c r="C109" s="168">
        <v>18484</v>
      </c>
      <c r="D109" s="168">
        <v>11701</v>
      </c>
    </row>
    <row r="110" spans="2:4" x14ac:dyDescent="0.2">
      <c r="B110" s="177">
        <v>45440</v>
      </c>
      <c r="C110" s="166">
        <v>18910</v>
      </c>
      <c r="D110" s="166">
        <v>12006</v>
      </c>
    </row>
    <row r="111" spans="2:4" x14ac:dyDescent="0.2">
      <c r="B111" s="176">
        <v>45454</v>
      </c>
      <c r="C111" s="168">
        <v>19029</v>
      </c>
      <c r="D111" s="168">
        <v>12585</v>
      </c>
    </row>
    <row r="112" spans="2:4" x14ac:dyDescent="0.2">
      <c r="B112" s="177">
        <v>45468</v>
      </c>
      <c r="C112" s="166">
        <v>19068</v>
      </c>
      <c r="D112" s="166">
        <v>12821</v>
      </c>
    </row>
    <row r="113" spans="2:4" x14ac:dyDescent="0.2">
      <c r="B113" s="176">
        <v>45482</v>
      </c>
      <c r="C113" s="168">
        <v>19164</v>
      </c>
      <c r="D113" s="168">
        <v>13634</v>
      </c>
    </row>
    <row r="114" spans="2:4" x14ac:dyDescent="0.2">
      <c r="B114" s="177">
        <v>45496</v>
      </c>
      <c r="C114" s="166">
        <v>19253</v>
      </c>
      <c r="D114" s="166">
        <v>14665</v>
      </c>
    </row>
    <row r="115" spans="2:4" x14ac:dyDescent="0.2">
      <c r="B115" s="176">
        <v>45510</v>
      </c>
      <c r="C115" s="168">
        <v>18476</v>
      </c>
      <c r="D115" s="168">
        <v>15877</v>
      </c>
    </row>
    <row r="116" spans="2:4" x14ac:dyDescent="0.2">
      <c r="B116" s="177">
        <v>45524</v>
      </c>
      <c r="C116" s="166">
        <v>17831</v>
      </c>
      <c r="D116" s="166">
        <v>16745</v>
      </c>
    </row>
    <row r="117" spans="2:4" x14ac:dyDescent="0.2">
      <c r="B117" s="176">
        <v>45552</v>
      </c>
      <c r="C117" s="168">
        <v>16041</v>
      </c>
      <c r="D117" s="168">
        <v>15117</v>
      </c>
    </row>
    <row r="118" spans="2:4" x14ac:dyDescent="0.2">
      <c r="B118" s="177">
        <v>45566</v>
      </c>
      <c r="C118" s="166">
        <v>16142</v>
      </c>
      <c r="D118" s="166">
        <v>13942</v>
      </c>
    </row>
    <row r="119" spans="2:4" x14ac:dyDescent="0.2">
      <c r="B119" s="176">
        <v>45580</v>
      </c>
      <c r="C119" s="168">
        <v>16279</v>
      </c>
      <c r="D119" s="168">
        <v>12479</v>
      </c>
    </row>
    <row r="120" spans="2:4" x14ac:dyDescent="0.2">
      <c r="B120" s="177">
        <v>45594</v>
      </c>
      <c r="C120" s="166">
        <v>16485</v>
      </c>
      <c r="D120" s="166">
        <v>11773</v>
      </c>
    </row>
    <row r="121" spans="2:4" x14ac:dyDescent="0.2">
      <c r="B121" s="176">
        <v>45608</v>
      </c>
      <c r="C121" s="168">
        <v>17486</v>
      </c>
      <c r="D121" s="168">
        <v>10712</v>
      </c>
    </row>
    <row r="122" spans="2:4" x14ac:dyDescent="0.2">
      <c r="B122" s="177">
        <v>45622</v>
      </c>
      <c r="C122" s="166">
        <v>18053</v>
      </c>
      <c r="D122" s="166">
        <v>9564</v>
      </c>
    </row>
    <row r="123" spans="2:4" x14ac:dyDescent="0.2">
      <c r="B123" s="176">
        <v>45636</v>
      </c>
      <c r="C123" s="168">
        <v>15048</v>
      </c>
      <c r="D123" s="168">
        <v>8829</v>
      </c>
    </row>
    <row r="124" spans="2:4" x14ac:dyDescent="0.2">
      <c r="B124" s="177">
        <v>45650</v>
      </c>
      <c r="C124" s="166">
        <v>17385</v>
      </c>
      <c r="D124" s="166">
        <v>8338</v>
      </c>
    </row>
    <row r="125" spans="2:4" x14ac:dyDescent="0.2">
      <c r="B125" s="176">
        <v>45664</v>
      </c>
      <c r="C125" s="168">
        <v>17662</v>
      </c>
      <c r="D125" s="168">
        <v>8548</v>
      </c>
    </row>
    <row r="126" spans="2:4" x14ac:dyDescent="0.2">
      <c r="B126" s="177">
        <v>45678</v>
      </c>
      <c r="C126" s="166">
        <v>19247</v>
      </c>
      <c r="D126" s="166">
        <v>9483</v>
      </c>
    </row>
    <row r="127" spans="2:4" x14ac:dyDescent="0.2">
      <c r="B127" s="176">
        <v>45692</v>
      </c>
      <c r="C127" s="168">
        <v>19531</v>
      </c>
      <c r="D127" s="168">
        <v>9566</v>
      </c>
    </row>
    <row r="128" spans="2:4" x14ac:dyDescent="0.2">
      <c r="B128" s="177">
        <v>45706</v>
      </c>
      <c r="C128" s="166">
        <v>19687</v>
      </c>
      <c r="D128" s="166">
        <v>9353</v>
      </c>
    </row>
    <row r="129" spans="2:4" x14ac:dyDescent="0.2">
      <c r="B129" s="176">
        <v>45720</v>
      </c>
      <c r="C129" s="168">
        <v>19520</v>
      </c>
      <c r="D129" s="168">
        <v>9010</v>
      </c>
    </row>
    <row r="130" spans="2:4" x14ac:dyDescent="0.2">
      <c r="B130" s="177">
        <v>45734</v>
      </c>
      <c r="C130" s="166">
        <v>20356</v>
      </c>
      <c r="D130" s="166">
        <v>9066</v>
      </c>
    </row>
    <row r="131" spans="2:4" x14ac:dyDescent="0.2">
      <c r="B131" s="176">
        <v>45748</v>
      </c>
      <c r="C131" s="168">
        <v>20331</v>
      </c>
      <c r="D131" s="168">
        <v>8902</v>
      </c>
    </row>
    <row r="132" spans="2:4" x14ac:dyDescent="0.2">
      <c r="B132" s="177">
        <v>45762</v>
      </c>
      <c r="C132" s="166">
        <v>20617</v>
      </c>
      <c r="D132" s="166">
        <v>8857</v>
      </c>
    </row>
    <row r="133" spans="2:4" x14ac:dyDescent="0.2">
      <c r="B133" s="176">
        <v>45783</v>
      </c>
      <c r="C133" s="168">
        <v>20630</v>
      </c>
      <c r="D133" s="168">
        <v>9097</v>
      </c>
    </row>
    <row r="134" spans="2:4" x14ac:dyDescent="0.2">
      <c r="B134" s="177">
        <v>45790</v>
      </c>
      <c r="C134" s="166">
        <v>20534</v>
      </c>
      <c r="D134" s="166">
        <v>9248</v>
      </c>
    </row>
    <row r="135" spans="2:4" x14ac:dyDescent="0.2">
      <c r="B135" s="176">
        <v>45804</v>
      </c>
      <c r="C135" s="168">
        <v>20834</v>
      </c>
      <c r="D135" s="168">
        <v>9363</v>
      </c>
    </row>
    <row r="136" spans="2:4" x14ac:dyDescent="0.2">
      <c r="B136" s="177">
        <v>45818</v>
      </c>
      <c r="C136" s="166">
        <v>21179</v>
      </c>
      <c r="D136" s="166">
        <v>9731</v>
      </c>
    </row>
    <row r="137" spans="2:4" x14ac:dyDescent="0.2">
      <c r="B137" s="176">
        <v>45832</v>
      </c>
      <c r="C137" s="168">
        <v>21084</v>
      </c>
      <c r="D137" s="168">
        <v>10026</v>
      </c>
    </row>
    <row r="138" spans="2:4" x14ac:dyDescent="0.2">
      <c r="B138" s="177">
        <v>45846</v>
      </c>
      <c r="C138" s="166">
        <v>21394</v>
      </c>
      <c r="D138" s="166">
        <v>10509</v>
      </c>
    </row>
    <row r="139" spans="2:4" x14ac:dyDescent="0.2">
      <c r="B139" s="176">
        <v>45860</v>
      </c>
      <c r="C139" s="168">
        <v>21478</v>
      </c>
      <c r="D139" s="168">
        <v>11032</v>
      </c>
    </row>
    <row r="140" spans="2:4" x14ac:dyDescent="0.2">
      <c r="B140" s="177">
        <v>45874</v>
      </c>
      <c r="C140" s="166">
        <v>21029</v>
      </c>
      <c r="D140" s="166">
        <v>12155</v>
      </c>
    </row>
    <row r="141" spans="2:4" x14ac:dyDescent="0.2">
      <c r="B141" s="176">
        <v>45888</v>
      </c>
      <c r="C141" s="168">
        <v>19782</v>
      </c>
      <c r="D141" s="168">
        <v>12909</v>
      </c>
    </row>
    <row r="142" spans="2:4" x14ac:dyDescent="0.2">
      <c r="B142" s="177">
        <v>45902</v>
      </c>
      <c r="C142" s="166">
        <v>18396</v>
      </c>
      <c r="D142" s="166">
        <v>12755</v>
      </c>
    </row>
    <row r="143" spans="2:4" x14ac:dyDescent="0.2">
      <c r="B143" s="176">
        <v>45916</v>
      </c>
      <c r="C143" s="168">
        <v>18125</v>
      </c>
      <c r="D143" s="168">
        <v>12087</v>
      </c>
    </row>
    <row r="144" spans="2:4" x14ac:dyDescent="0.2">
      <c r="B144" s="177">
        <v>45930</v>
      </c>
      <c r="C144" s="166">
        <v>17476</v>
      </c>
      <c r="D144" s="166">
        <v>10620</v>
      </c>
    </row>
    <row r="145" spans="2:4" x14ac:dyDescent="0.2">
      <c r="B145" s="176">
        <v>45944</v>
      </c>
      <c r="C145" s="168">
        <v>17818</v>
      </c>
      <c r="D145" s="168">
        <v>9063</v>
      </c>
    </row>
    <row r="146" spans="2:4" x14ac:dyDescent="0.2">
      <c r="B146" s="177">
        <v>45958</v>
      </c>
      <c r="C146" s="166">
        <v>17946</v>
      </c>
      <c r="D146" s="166">
        <v>8371</v>
      </c>
    </row>
    <row r="147" spans="2:4" x14ac:dyDescent="0.2">
      <c r="B147" s="176">
        <v>45978</v>
      </c>
      <c r="C147" s="168">
        <v>18973</v>
      </c>
      <c r="D147" s="168">
        <v>7658</v>
      </c>
    </row>
    <row r="148" spans="2:4" x14ac:dyDescent="0.2">
      <c r="B148" s="177">
        <v>45986</v>
      </c>
      <c r="C148" s="166">
        <v>19430</v>
      </c>
      <c r="D148" s="166">
        <v>7287</v>
      </c>
    </row>
    <row r="149" spans="2:4" x14ac:dyDescent="0.2">
      <c r="B149" s="176">
        <v>46000</v>
      </c>
      <c r="C149" s="168">
        <v>19952</v>
      </c>
      <c r="D149" s="168">
        <v>6900</v>
      </c>
    </row>
    <row r="150" spans="2:4" x14ac:dyDescent="0.2">
      <c r="B150" s="177">
        <v>46021</v>
      </c>
      <c r="C150" s="166">
        <v>17960</v>
      </c>
      <c r="D150" s="166">
        <v>6414</v>
      </c>
    </row>
    <row r="151" spans="2:4" x14ac:dyDescent="0.2">
      <c r="B151" s="176">
        <v>46028</v>
      </c>
      <c r="C151" s="168">
        <v>18524</v>
      </c>
      <c r="D151" s="168">
        <v>6797</v>
      </c>
    </row>
    <row r="152" spans="2:4" x14ac:dyDescent="0.2">
      <c r="B152" s="177">
        <v>46042</v>
      </c>
      <c r="C152" s="166">
        <v>19781</v>
      </c>
      <c r="D152" s="166">
        <v>7712</v>
      </c>
    </row>
    <row r="153" spans="2:4" x14ac:dyDescent="0.2">
      <c r="B153" s="178" t="s">
        <v>561</v>
      </c>
      <c r="C153" s="168">
        <v>20392</v>
      </c>
      <c r="D153" s="168">
        <v>7910</v>
      </c>
    </row>
    <row r="154" spans="2:4" x14ac:dyDescent="0.2">
      <c r="B154" s="177">
        <v>46070</v>
      </c>
      <c r="C154" s="167">
        <v>20392</v>
      </c>
      <c r="D154" s="167">
        <v>7589</v>
      </c>
    </row>
    <row r="155" spans="2:4" x14ac:dyDescent="0.2">
      <c r="B155" s="176">
        <v>46084</v>
      </c>
      <c r="C155" s="168">
        <v>19945</v>
      </c>
      <c r="D155" s="168">
        <v>7541</v>
      </c>
    </row>
    <row r="156" spans="2:4" x14ac:dyDescent="0.2">
      <c r="B156" s="177">
        <v>46098</v>
      </c>
      <c r="C156" s="166">
        <v>20308</v>
      </c>
      <c r="D156" s="166">
        <v>7644</v>
      </c>
    </row>
    <row r="157" spans="2:4" x14ac:dyDescent="0.2">
      <c r="B157" s="179">
        <v>46112</v>
      </c>
      <c r="C157" s="168">
        <v>19688</v>
      </c>
      <c r="D157" s="168">
        <v>7612</v>
      </c>
    </row>
    <row r="158" spans="2:4" x14ac:dyDescent="0.2">
      <c r="B158" s="177">
        <v>46126</v>
      </c>
      <c r="C158" s="166">
        <v>19429</v>
      </c>
      <c r="D158" s="166">
        <v>7867</v>
      </c>
    </row>
    <row r="159" spans="2:4" x14ac:dyDescent="0.2">
      <c r="B159" s="176">
        <v>46140</v>
      </c>
      <c r="C159" s="168">
        <v>19433</v>
      </c>
      <c r="D159" s="168">
        <v>8118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86EE0-0BB0-D745-969C-B2E47C5D245C}">
  <dimension ref="B2:J99"/>
  <sheetViews>
    <sheetView zoomScale="75" zoomScaleNormal="90" workbookViewId="0">
      <pane ySplit="7" topLeftCell="A8" activePane="bottomLeft" state="frozen"/>
      <selection pane="bottomLeft" activeCell="H34" sqref="H34"/>
    </sheetView>
  </sheetViews>
  <sheetFormatPr baseColWidth="10" defaultRowHeight="16" x14ac:dyDescent="0.2"/>
  <cols>
    <col min="2" max="2" width="20" customWidth="1"/>
  </cols>
  <sheetData>
    <row r="2" spans="2:10" s="1" customFormat="1" x14ac:dyDescent="0.2">
      <c r="B2" s="1" t="s">
        <v>1</v>
      </c>
      <c r="C2" s="1" t="s">
        <v>569</v>
      </c>
    </row>
    <row r="3" spans="2:10" s="1" customFormat="1" x14ac:dyDescent="0.2">
      <c r="B3" s="1" t="s">
        <v>85</v>
      </c>
      <c r="C3" s="7" t="s">
        <v>570</v>
      </c>
      <c r="D3" s="7"/>
      <c r="E3" s="7"/>
      <c r="F3" s="7"/>
    </row>
    <row r="4" spans="2:10" s="1" customFormat="1" x14ac:dyDescent="0.2">
      <c r="B4" s="1" t="s">
        <v>87</v>
      </c>
      <c r="C4" s="1" t="s">
        <v>568</v>
      </c>
    </row>
    <row r="5" spans="2:10" s="1" customFormat="1" x14ac:dyDescent="0.2">
      <c r="B5" s="1" t="s">
        <v>89</v>
      </c>
    </row>
    <row r="6" spans="2:10" x14ac:dyDescent="0.2">
      <c r="C6" s="1" t="s">
        <v>139</v>
      </c>
      <c r="G6" t="s">
        <v>558</v>
      </c>
    </row>
    <row r="7" spans="2:10" x14ac:dyDescent="0.2">
      <c r="B7" s="169" t="s">
        <v>390</v>
      </c>
      <c r="C7" t="s">
        <v>564</v>
      </c>
      <c r="D7" t="s">
        <v>565</v>
      </c>
      <c r="E7" t="s">
        <v>566</v>
      </c>
      <c r="F7" t="s">
        <v>567</v>
      </c>
      <c r="G7" t="s">
        <v>564</v>
      </c>
      <c r="H7" t="s">
        <v>565</v>
      </c>
      <c r="I7" t="s">
        <v>566</v>
      </c>
      <c r="J7" t="s">
        <v>567</v>
      </c>
    </row>
    <row r="8" spans="2:10" x14ac:dyDescent="0.2">
      <c r="B8" t="s">
        <v>445</v>
      </c>
      <c r="C8">
        <v>1845</v>
      </c>
      <c r="D8">
        <v>2451</v>
      </c>
      <c r="E8">
        <v>1295</v>
      </c>
      <c r="F8">
        <v>9024</v>
      </c>
    </row>
    <row r="9" spans="2:10" x14ac:dyDescent="0.2">
      <c r="B9" t="s">
        <v>446</v>
      </c>
      <c r="C9">
        <v>1889</v>
      </c>
      <c r="D9">
        <v>2606</v>
      </c>
      <c r="E9">
        <v>1102</v>
      </c>
      <c r="F9">
        <v>7563</v>
      </c>
    </row>
    <row r="10" spans="2:10" x14ac:dyDescent="0.2">
      <c r="B10" t="s">
        <v>447</v>
      </c>
      <c r="C10">
        <v>1836</v>
      </c>
      <c r="D10">
        <v>2525</v>
      </c>
      <c r="E10">
        <v>1143</v>
      </c>
      <c r="F10">
        <v>8106</v>
      </c>
    </row>
    <row r="11" spans="2:10" x14ac:dyDescent="0.2">
      <c r="B11" t="s">
        <v>448</v>
      </c>
      <c r="C11">
        <v>1998</v>
      </c>
      <c r="D11">
        <v>2865</v>
      </c>
      <c r="E11">
        <v>1082</v>
      </c>
      <c r="F11">
        <v>7941</v>
      </c>
    </row>
    <row r="12" spans="2:10" x14ac:dyDescent="0.2">
      <c r="B12" t="s">
        <v>449</v>
      </c>
      <c r="C12">
        <v>2210</v>
      </c>
      <c r="D12">
        <v>2936</v>
      </c>
      <c r="E12">
        <v>1067</v>
      </c>
      <c r="F12">
        <v>7784</v>
      </c>
    </row>
    <row r="13" spans="2:10" x14ac:dyDescent="0.2">
      <c r="B13" t="s">
        <v>450</v>
      </c>
      <c r="C13">
        <v>2323</v>
      </c>
      <c r="D13">
        <v>3142</v>
      </c>
      <c r="E13">
        <v>1272</v>
      </c>
      <c r="F13">
        <v>7542</v>
      </c>
    </row>
    <row r="14" spans="2:10" x14ac:dyDescent="0.2">
      <c r="B14" t="s">
        <v>451</v>
      </c>
      <c r="C14">
        <v>2169</v>
      </c>
      <c r="D14">
        <v>3489</v>
      </c>
      <c r="E14">
        <v>1035</v>
      </c>
      <c r="F14">
        <v>7522</v>
      </c>
    </row>
    <row r="15" spans="2:10" x14ac:dyDescent="0.2">
      <c r="B15" t="s">
        <v>452</v>
      </c>
      <c r="C15">
        <v>2055</v>
      </c>
      <c r="D15">
        <v>4010</v>
      </c>
      <c r="E15">
        <v>1222</v>
      </c>
      <c r="F15">
        <v>7746</v>
      </c>
    </row>
    <row r="16" spans="2:10" x14ac:dyDescent="0.2">
      <c r="B16" t="s">
        <v>453</v>
      </c>
      <c r="C16">
        <v>1950</v>
      </c>
      <c r="D16">
        <v>4780</v>
      </c>
      <c r="E16">
        <v>1286</v>
      </c>
      <c r="F16">
        <v>6961</v>
      </c>
    </row>
    <row r="17" spans="2:10" x14ac:dyDescent="0.2">
      <c r="B17" t="s">
        <v>454</v>
      </c>
      <c r="C17">
        <v>2286</v>
      </c>
      <c r="D17">
        <v>5302</v>
      </c>
      <c r="E17">
        <v>1237</v>
      </c>
      <c r="F17">
        <v>6658</v>
      </c>
    </row>
    <row r="18" spans="2:10" x14ac:dyDescent="0.2">
      <c r="B18" t="s">
        <v>455</v>
      </c>
      <c r="C18">
        <v>2123</v>
      </c>
      <c r="D18">
        <v>5506</v>
      </c>
      <c r="E18">
        <v>1124</v>
      </c>
      <c r="F18">
        <v>7350</v>
      </c>
    </row>
    <row r="19" spans="2:10" x14ac:dyDescent="0.2">
      <c r="B19" t="s">
        <v>456</v>
      </c>
      <c r="C19">
        <v>2217</v>
      </c>
      <c r="D19">
        <v>5599</v>
      </c>
      <c r="E19">
        <v>1068</v>
      </c>
      <c r="F19">
        <v>7423</v>
      </c>
    </row>
    <row r="20" spans="2:10" x14ac:dyDescent="0.2">
      <c r="B20" t="s">
        <v>457</v>
      </c>
      <c r="C20">
        <v>2223</v>
      </c>
      <c r="D20">
        <v>5525</v>
      </c>
      <c r="E20">
        <v>1345</v>
      </c>
      <c r="F20">
        <v>7360</v>
      </c>
    </row>
    <row r="21" spans="2:10" x14ac:dyDescent="0.2">
      <c r="B21" t="s">
        <v>458</v>
      </c>
      <c r="C21">
        <v>2487</v>
      </c>
      <c r="D21">
        <v>5547</v>
      </c>
      <c r="E21">
        <v>1256</v>
      </c>
      <c r="F21">
        <v>6109</v>
      </c>
    </row>
    <row r="22" spans="2:10" x14ac:dyDescent="0.2">
      <c r="B22" t="s">
        <v>459</v>
      </c>
      <c r="C22">
        <v>2524</v>
      </c>
      <c r="D22">
        <v>5772</v>
      </c>
      <c r="E22">
        <v>1224</v>
      </c>
      <c r="F22">
        <v>6811</v>
      </c>
    </row>
    <row r="23" spans="2:10" x14ac:dyDescent="0.2">
      <c r="B23" t="s">
        <v>460</v>
      </c>
      <c r="C23">
        <v>2352</v>
      </c>
      <c r="D23">
        <v>5142</v>
      </c>
      <c r="E23">
        <v>1230</v>
      </c>
      <c r="F23">
        <v>5429</v>
      </c>
    </row>
    <row r="24" spans="2:10" x14ac:dyDescent="0.2">
      <c r="B24" t="s">
        <v>461</v>
      </c>
      <c r="C24">
        <v>2411</v>
      </c>
      <c r="D24">
        <v>5532</v>
      </c>
      <c r="E24">
        <v>1338</v>
      </c>
      <c r="F24">
        <v>5431</v>
      </c>
    </row>
    <row r="25" spans="2:10" x14ac:dyDescent="0.2">
      <c r="B25" t="s">
        <v>462</v>
      </c>
      <c r="C25">
        <v>2802</v>
      </c>
      <c r="D25">
        <v>5014</v>
      </c>
      <c r="E25">
        <v>1353</v>
      </c>
      <c r="F25">
        <v>5471</v>
      </c>
    </row>
    <row r="26" spans="2:10" x14ac:dyDescent="0.2">
      <c r="B26" t="s">
        <v>463</v>
      </c>
      <c r="C26">
        <v>2624</v>
      </c>
      <c r="D26">
        <v>4904</v>
      </c>
      <c r="E26">
        <v>1344</v>
      </c>
      <c r="F26">
        <v>5809</v>
      </c>
    </row>
    <row r="27" spans="2:10" x14ac:dyDescent="0.2">
      <c r="B27" t="s">
        <v>464</v>
      </c>
      <c r="C27">
        <v>2523</v>
      </c>
      <c r="D27">
        <v>4858</v>
      </c>
      <c r="E27">
        <v>1260</v>
      </c>
      <c r="F27">
        <v>5678</v>
      </c>
    </row>
    <row r="28" spans="2:10" x14ac:dyDescent="0.2">
      <c r="B28" t="s">
        <v>465</v>
      </c>
      <c r="C28">
        <v>2744</v>
      </c>
      <c r="D28">
        <v>5562</v>
      </c>
      <c r="E28">
        <v>1342</v>
      </c>
      <c r="F28">
        <v>6165</v>
      </c>
    </row>
    <row r="29" spans="2:10" x14ac:dyDescent="0.2">
      <c r="B29" t="s">
        <v>466</v>
      </c>
      <c r="C29">
        <v>2980</v>
      </c>
      <c r="D29">
        <v>5539</v>
      </c>
      <c r="E29">
        <v>1574</v>
      </c>
      <c r="F29">
        <v>5608</v>
      </c>
    </row>
    <row r="30" spans="2:10" x14ac:dyDescent="0.2">
      <c r="B30" t="s">
        <v>467</v>
      </c>
      <c r="C30">
        <v>2406</v>
      </c>
      <c r="D30">
        <v>5376</v>
      </c>
      <c r="E30">
        <v>1628</v>
      </c>
      <c r="F30">
        <v>5918</v>
      </c>
    </row>
    <row r="31" spans="2:10" x14ac:dyDescent="0.2">
      <c r="B31" t="s">
        <v>468</v>
      </c>
      <c r="C31">
        <v>1941</v>
      </c>
      <c r="D31">
        <v>3266</v>
      </c>
      <c r="E31">
        <v>1323</v>
      </c>
      <c r="F31">
        <v>6108</v>
      </c>
    </row>
    <row r="32" spans="2:10" x14ac:dyDescent="0.2">
      <c r="B32" t="s">
        <v>469</v>
      </c>
      <c r="C32">
        <v>2017</v>
      </c>
      <c r="D32">
        <v>3405</v>
      </c>
      <c r="E32">
        <v>1568</v>
      </c>
      <c r="F32">
        <v>6585</v>
      </c>
      <c r="G32" s="170">
        <v>4530</v>
      </c>
      <c r="H32" s="170">
        <v>22431</v>
      </c>
      <c r="I32" s="170">
        <v>5338</v>
      </c>
      <c r="J32" s="170">
        <v>25640</v>
      </c>
    </row>
    <row r="33" spans="2:10" x14ac:dyDescent="0.2">
      <c r="B33" t="s">
        <v>470</v>
      </c>
      <c r="C33">
        <v>1864</v>
      </c>
      <c r="D33">
        <v>3780</v>
      </c>
      <c r="E33">
        <v>1667</v>
      </c>
      <c r="F33">
        <v>5427</v>
      </c>
      <c r="G33" s="170">
        <v>4120</v>
      </c>
      <c r="H33" s="170">
        <v>24625</v>
      </c>
      <c r="I33" s="170">
        <v>5310</v>
      </c>
      <c r="J33" s="170">
        <v>21684</v>
      </c>
    </row>
    <row r="34" spans="2:10" x14ac:dyDescent="0.2">
      <c r="B34" t="s">
        <v>471</v>
      </c>
      <c r="C34">
        <v>1742</v>
      </c>
      <c r="D34">
        <v>3423</v>
      </c>
      <c r="E34">
        <v>1677</v>
      </c>
      <c r="F34">
        <v>6238</v>
      </c>
      <c r="G34" s="170">
        <v>3962</v>
      </c>
      <c r="H34" s="170">
        <v>23238</v>
      </c>
      <c r="I34" s="170">
        <v>5131</v>
      </c>
      <c r="J34" s="170">
        <v>23627</v>
      </c>
    </row>
    <row r="35" spans="2:10" x14ac:dyDescent="0.2">
      <c r="B35" t="s">
        <v>472</v>
      </c>
      <c r="C35">
        <v>1686</v>
      </c>
      <c r="D35">
        <v>2566</v>
      </c>
      <c r="E35">
        <v>1634</v>
      </c>
      <c r="F35">
        <v>5830</v>
      </c>
      <c r="G35" s="170">
        <v>3996</v>
      </c>
      <c r="H35" s="170">
        <v>16956</v>
      </c>
      <c r="I35" s="170">
        <v>5023</v>
      </c>
      <c r="J35" s="170">
        <v>22043</v>
      </c>
    </row>
    <row r="36" spans="2:10" x14ac:dyDescent="0.2">
      <c r="B36" t="s">
        <v>473</v>
      </c>
      <c r="C36">
        <v>2090</v>
      </c>
      <c r="D36">
        <v>2512</v>
      </c>
      <c r="E36">
        <v>2003</v>
      </c>
      <c r="F36">
        <v>6223</v>
      </c>
      <c r="G36" s="170">
        <v>4729</v>
      </c>
      <c r="H36" s="170">
        <v>17514</v>
      </c>
      <c r="I36" s="170">
        <v>6038</v>
      </c>
      <c r="J36" s="170">
        <v>22979</v>
      </c>
    </row>
    <row r="37" spans="2:10" x14ac:dyDescent="0.2">
      <c r="B37" t="s">
        <v>474</v>
      </c>
      <c r="C37">
        <v>2192</v>
      </c>
      <c r="D37">
        <v>2382</v>
      </c>
      <c r="E37">
        <v>1854</v>
      </c>
      <c r="F37">
        <v>5118</v>
      </c>
      <c r="G37" s="170">
        <v>5063</v>
      </c>
      <c r="H37" s="170">
        <v>17173</v>
      </c>
      <c r="I37" s="170">
        <v>5654</v>
      </c>
      <c r="J37" s="170">
        <v>19391</v>
      </c>
    </row>
    <row r="38" spans="2:10" x14ac:dyDescent="0.2">
      <c r="B38" t="s">
        <v>475</v>
      </c>
      <c r="C38">
        <v>2386</v>
      </c>
      <c r="D38">
        <v>2590</v>
      </c>
      <c r="E38">
        <v>1772</v>
      </c>
      <c r="F38">
        <v>5528</v>
      </c>
      <c r="G38" s="170">
        <v>5572</v>
      </c>
      <c r="H38" s="170">
        <v>18997</v>
      </c>
      <c r="I38" s="170">
        <v>5513</v>
      </c>
      <c r="J38" s="170">
        <v>22028</v>
      </c>
    </row>
    <row r="39" spans="2:10" x14ac:dyDescent="0.2">
      <c r="B39" t="s">
        <v>476</v>
      </c>
      <c r="C39">
        <v>2935</v>
      </c>
      <c r="D39">
        <v>2304</v>
      </c>
      <c r="E39">
        <v>1822</v>
      </c>
      <c r="F39">
        <v>5520</v>
      </c>
      <c r="G39" s="170">
        <v>5690</v>
      </c>
      <c r="H39" s="170">
        <v>16711</v>
      </c>
      <c r="I39" s="170">
        <v>5199</v>
      </c>
      <c r="J39" s="170">
        <v>21283</v>
      </c>
    </row>
    <row r="40" spans="2:10" x14ac:dyDescent="0.2">
      <c r="B40" t="s">
        <v>477</v>
      </c>
      <c r="C40">
        <v>3031</v>
      </c>
      <c r="D40">
        <v>2505</v>
      </c>
      <c r="E40">
        <v>1929</v>
      </c>
      <c r="F40">
        <v>5838</v>
      </c>
      <c r="G40" s="170">
        <v>6339</v>
      </c>
      <c r="H40" s="170">
        <v>18266</v>
      </c>
      <c r="I40" s="170">
        <v>6011</v>
      </c>
      <c r="J40" s="170">
        <v>23065</v>
      </c>
    </row>
    <row r="41" spans="2:10" x14ac:dyDescent="0.2">
      <c r="B41" t="s">
        <v>478</v>
      </c>
      <c r="C41">
        <v>2777</v>
      </c>
      <c r="D41">
        <v>2268</v>
      </c>
      <c r="E41">
        <v>1802</v>
      </c>
      <c r="F41">
        <v>5061</v>
      </c>
      <c r="G41" s="170">
        <v>6074</v>
      </c>
      <c r="H41" s="170">
        <v>17062</v>
      </c>
      <c r="I41" s="170">
        <v>5298</v>
      </c>
      <c r="J41" s="170">
        <v>20453</v>
      </c>
    </row>
    <row r="42" spans="2:10" x14ac:dyDescent="0.2">
      <c r="B42" t="s">
        <v>479</v>
      </c>
      <c r="C42">
        <v>3372</v>
      </c>
      <c r="D42">
        <v>2381</v>
      </c>
      <c r="E42">
        <v>2003</v>
      </c>
      <c r="F42">
        <v>5848</v>
      </c>
      <c r="G42" s="170">
        <v>6774</v>
      </c>
      <c r="H42" s="170">
        <v>17484</v>
      </c>
      <c r="I42" s="170">
        <v>5524</v>
      </c>
      <c r="J42" s="170">
        <v>23747</v>
      </c>
    </row>
    <row r="43" spans="2:10" x14ac:dyDescent="0.2">
      <c r="B43" t="s">
        <v>480</v>
      </c>
      <c r="C43">
        <v>2850</v>
      </c>
      <c r="D43">
        <v>2038</v>
      </c>
      <c r="E43">
        <v>1820</v>
      </c>
      <c r="F43">
        <v>5588</v>
      </c>
      <c r="G43" s="170">
        <v>5937</v>
      </c>
      <c r="H43" s="170">
        <v>15352</v>
      </c>
      <c r="I43" s="170">
        <v>5095</v>
      </c>
      <c r="J43" s="170">
        <v>22254</v>
      </c>
    </row>
    <row r="44" spans="2:10" x14ac:dyDescent="0.2">
      <c r="B44" t="s">
        <v>481</v>
      </c>
      <c r="C44">
        <v>3530</v>
      </c>
      <c r="D44">
        <v>2181</v>
      </c>
      <c r="E44">
        <v>2045</v>
      </c>
      <c r="F44">
        <v>6179</v>
      </c>
      <c r="G44" s="170">
        <v>7028</v>
      </c>
      <c r="H44" s="170">
        <v>15775</v>
      </c>
      <c r="I44" s="170">
        <v>5968</v>
      </c>
      <c r="J44" s="170">
        <v>23969</v>
      </c>
    </row>
    <row r="45" spans="2:10" x14ac:dyDescent="0.2">
      <c r="B45" t="s">
        <v>482</v>
      </c>
      <c r="C45">
        <v>3967</v>
      </c>
      <c r="D45">
        <v>1813</v>
      </c>
      <c r="E45">
        <v>2070</v>
      </c>
      <c r="F45">
        <v>5000</v>
      </c>
      <c r="G45" s="170">
        <v>7619</v>
      </c>
      <c r="H45" s="170">
        <v>13638</v>
      </c>
      <c r="I45" s="170">
        <v>5476</v>
      </c>
      <c r="J45" s="170">
        <v>20152</v>
      </c>
    </row>
    <row r="46" spans="2:10" x14ac:dyDescent="0.2">
      <c r="B46" t="s">
        <v>483</v>
      </c>
      <c r="C46">
        <v>4369</v>
      </c>
      <c r="D46">
        <v>1856</v>
      </c>
      <c r="E46">
        <v>2134</v>
      </c>
      <c r="F46">
        <v>5960</v>
      </c>
      <c r="G46" s="170">
        <v>8161</v>
      </c>
      <c r="H46" s="170">
        <v>13219</v>
      </c>
      <c r="I46" s="170">
        <v>5742</v>
      </c>
      <c r="J46" s="170">
        <v>23541</v>
      </c>
    </row>
    <row r="47" spans="2:10" x14ac:dyDescent="0.2">
      <c r="B47" t="s">
        <v>484</v>
      </c>
      <c r="C47">
        <v>4194</v>
      </c>
      <c r="D47">
        <v>1750</v>
      </c>
      <c r="E47">
        <v>1833</v>
      </c>
      <c r="F47">
        <v>6135</v>
      </c>
      <c r="G47" s="170">
        <v>7766</v>
      </c>
      <c r="H47" s="170">
        <v>13150</v>
      </c>
      <c r="I47" s="170">
        <v>5207</v>
      </c>
      <c r="J47" s="170">
        <v>24527</v>
      </c>
    </row>
    <row r="48" spans="2:10" x14ac:dyDescent="0.2">
      <c r="B48" t="s">
        <v>485</v>
      </c>
      <c r="C48">
        <v>4933</v>
      </c>
      <c r="D48">
        <v>1760</v>
      </c>
      <c r="E48">
        <v>1941</v>
      </c>
      <c r="F48">
        <v>6414</v>
      </c>
      <c r="G48" s="170">
        <v>8680</v>
      </c>
      <c r="H48" s="170">
        <v>13457</v>
      </c>
      <c r="I48" s="170">
        <v>5662</v>
      </c>
      <c r="J48" s="170">
        <v>26478</v>
      </c>
    </row>
    <row r="49" spans="2:10" x14ac:dyDescent="0.2">
      <c r="B49" t="s">
        <v>486</v>
      </c>
      <c r="C49">
        <v>4492</v>
      </c>
      <c r="D49">
        <v>1662</v>
      </c>
      <c r="E49">
        <v>2149</v>
      </c>
      <c r="F49">
        <v>5664</v>
      </c>
      <c r="G49" s="170">
        <v>8512</v>
      </c>
      <c r="H49" s="170">
        <v>11958</v>
      </c>
      <c r="I49" s="170">
        <v>5899</v>
      </c>
      <c r="J49" s="170">
        <v>23433</v>
      </c>
    </row>
    <row r="50" spans="2:10" x14ac:dyDescent="0.2">
      <c r="B50" t="s">
        <v>487</v>
      </c>
      <c r="C50">
        <v>4558</v>
      </c>
      <c r="D50">
        <v>1891</v>
      </c>
      <c r="E50">
        <v>2011</v>
      </c>
      <c r="F50">
        <v>6580</v>
      </c>
      <c r="G50" s="170">
        <v>8480</v>
      </c>
      <c r="H50" s="170">
        <v>13272</v>
      </c>
      <c r="I50" s="170">
        <v>5547</v>
      </c>
      <c r="J50" s="170">
        <v>28749</v>
      </c>
    </row>
    <row r="51" spans="2:10" x14ac:dyDescent="0.2">
      <c r="B51" t="s">
        <v>488</v>
      </c>
      <c r="C51">
        <v>4063</v>
      </c>
      <c r="D51">
        <v>1646</v>
      </c>
      <c r="E51">
        <v>1905</v>
      </c>
      <c r="F51">
        <v>6869</v>
      </c>
      <c r="G51" s="170">
        <v>7690</v>
      </c>
      <c r="H51" s="170">
        <v>11329</v>
      </c>
      <c r="I51" s="170">
        <v>5367</v>
      </c>
      <c r="J51" s="170">
        <v>29233</v>
      </c>
    </row>
    <row r="52" spans="2:10" x14ac:dyDescent="0.2">
      <c r="B52" t="s">
        <v>489</v>
      </c>
      <c r="C52">
        <v>4606</v>
      </c>
      <c r="D52">
        <v>1614</v>
      </c>
      <c r="E52">
        <v>2145</v>
      </c>
      <c r="F52">
        <v>6683</v>
      </c>
      <c r="G52" s="170">
        <v>8840</v>
      </c>
      <c r="H52" s="170">
        <v>11806</v>
      </c>
      <c r="I52" s="170">
        <v>6283</v>
      </c>
      <c r="J52" s="170">
        <v>30163</v>
      </c>
    </row>
    <row r="53" spans="2:10" x14ac:dyDescent="0.2">
      <c r="B53" t="s">
        <v>490</v>
      </c>
      <c r="C53">
        <v>4629</v>
      </c>
      <c r="D53">
        <v>1425</v>
      </c>
      <c r="E53">
        <v>1962</v>
      </c>
      <c r="F53">
        <v>5318</v>
      </c>
      <c r="G53" s="170">
        <v>9062</v>
      </c>
      <c r="H53" s="170">
        <v>10015</v>
      </c>
      <c r="I53" s="170">
        <v>5688</v>
      </c>
      <c r="J53" s="170">
        <v>22310</v>
      </c>
    </row>
    <row r="54" spans="2:10" x14ac:dyDescent="0.2">
      <c r="B54" t="s">
        <v>491</v>
      </c>
      <c r="C54">
        <v>4557</v>
      </c>
      <c r="D54">
        <v>1224</v>
      </c>
      <c r="E54">
        <v>1949</v>
      </c>
      <c r="F54">
        <v>6016</v>
      </c>
      <c r="G54" s="170">
        <v>9031</v>
      </c>
      <c r="H54" s="170">
        <v>9049</v>
      </c>
      <c r="I54" s="170">
        <v>5521</v>
      </c>
      <c r="J54" s="170">
        <v>24856</v>
      </c>
    </row>
    <row r="55" spans="2:10" x14ac:dyDescent="0.2">
      <c r="B55" t="s">
        <v>492</v>
      </c>
      <c r="C55">
        <v>4296</v>
      </c>
      <c r="D55">
        <v>1012</v>
      </c>
      <c r="E55">
        <v>1574</v>
      </c>
      <c r="F55">
        <v>5760</v>
      </c>
      <c r="G55" s="170">
        <v>8388</v>
      </c>
      <c r="H55" s="170">
        <v>7402</v>
      </c>
      <c r="I55" s="170">
        <v>4948</v>
      </c>
      <c r="J55" s="170">
        <v>23447</v>
      </c>
    </row>
    <row r="56" spans="2:10" x14ac:dyDescent="0.2">
      <c r="B56" t="s">
        <v>493</v>
      </c>
      <c r="C56">
        <v>4923</v>
      </c>
      <c r="D56">
        <v>666</v>
      </c>
      <c r="E56">
        <v>1712</v>
      </c>
      <c r="F56">
        <v>6206</v>
      </c>
      <c r="G56" s="170">
        <v>9296</v>
      </c>
      <c r="H56" s="170">
        <v>5224</v>
      </c>
      <c r="I56" s="170">
        <v>5365</v>
      </c>
      <c r="J56" s="170">
        <v>25940</v>
      </c>
    </row>
    <row r="57" spans="2:10" x14ac:dyDescent="0.2">
      <c r="B57" t="s">
        <v>494</v>
      </c>
      <c r="C57">
        <v>5124</v>
      </c>
      <c r="D57">
        <v>628</v>
      </c>
      <c r="E57">
        <v>1622</v>
      </c>
      <c r="F57">
        <v>5141</v>
      </c>
      <c r="G57" s="170">
        <v>9848</v>
      </c>
      <c r="H57" s="170">
        <v>4515</v>
      </c>
      <c r="I57" s="170">
        <v>4885</v>
      </c>
      <c r="J57" s="170">
        <v>20242</v>
      </c>
    </row>
    <row r="58" spans="2:10" x14ac:dyDescent="0.2">
      <c r="B58" t="s">
        <v>495</v>
      </c>
      <c r="C58">
        <v>4877</v>
      </c>
      <c r="D58">
        <v>602</v>
      </c>
      <c r="E58">
        <v>1632</v>
      </c>
      <c r="F58">
        <v>5206</v>
      </c>
      <c r="G58" s="170">
        <v>9681</v>
      </c>
      <c r="H58" s="170">
        <v>4653</v>
      </c>
      <c r="I58" s="170">
        <v>5073</v>
      </c>
      <c r="J58" s="170">
        <v>22431</v>
      </c>
    </row>
    <row r="59" spans="2:10" x14ac:dyDescent="0.2">
      <c r="B59" t="s">
        <v>496</v>
      </c>
      <c r="C59">
        <v>4377</v>
      </c>
      <c r="D59">
        <v>563</v>
      </c>
      <c r="E59">
        <v>1546</v>
      </c>
      <c r="F59">
        <v>5284</v>
      </c>
      <c r="G59" s="170">
        <v>8867</v>
      </c>
      <c r="H59" s="170">
        <v>4046</v>
      </c>
      <c r="I59" s="170">
        <v>4712</v>
      </c>
      <c r="J59" s="170">
        <v>21699</v>
      </c>
    </row>
    <row r="60" spans="2:10" x14ac:dyDescent="0.2">
      <c r="B60" t="s">
        <v>497</v>
      </c>
      <c r="C60">
        <v>4254</v>
      </c>
      <c r="D60">
        <v>583</v>
      </c>
      <c r="E60">
        <v>1681</v>
      </c>
      <c r="F60">
        <v>5524</v>
      </c>
      <c r="G60" s="170">
        <v>8699</v>
      </c>
      <c r="H60" s="170">
        <v>4403</v>
      </c>
      <c r="I60" s="170">
        <v>5006</v>
      </c>
      <c r="J60" s="170">
        <v>22921</v>
      </c>
    </row>
    <row r="61" spans="2:10" x14ac:dyDescent="0.2">
      <c r="B61" t="s">
        <v>498</v>
      </c>
      <c r="C61">
        <v>4402</v>
      </c>
      <c r="D61">
        <v>627</v>
      </c>
      <c r="E61">
        <v>1697</v>
      </c>
      <c r="F61">
        <v>4527</v>
      </c>
      <c r="G61" s="170">
        <v>9330</v>
      </c>
      <c r="H61" s="170">
        <v>4088</v>
      </c>
      <c r="I61" s="170">
        <v>4960</v>
      </c>
      <c r="J61" s="170">
        <v>18500</v>
      </c>
    </row>
    <row r="62" spans="2:10" x14ac:dyDescent="0.2">
      <c r="B62" t="s">
        <v>499</v>
      </c>
      <c r="C62">
        <v>3782</v>
      </c>
      <c r="D62">
        <v>662</v>
      </c>
      <c r="E62">
        <v>1800</v>
      </c>
      <c r="F62">
        <v>4646</v>
      </c>
      <c r="G62" s="170">
        <v>8342</v>
      </c>
      <c r="H62" s="170">
        <v>4131</v>
      </c>
      <c r="I62" s="170">
        <v>4975</v>
      </c>
      <c r="J62" s="170">
        <v>19754</v>
      </c>
    </row>
    <row r="63" spans="2:10" x14ac:dyDescent="0.2">
      <c r="B63" t="s">
        <v>500</v>
      </c>
      <c r="C63">
        <v>3168</v>
      </c>
      <c r="D63">
        <v>698</v>
      </c>
      <c r="E63">
        <v>1571</v>
      </c>
      <c r="F63">
        <v>4249</v>
      </c>
      <c r="G63" s="170">
        <v>7151</v>
      </c>
      <c r="H63" s="170">
        <v>4446</v>
      </c>
      <c r="I63" s="170">
        <v>4737</v>
      </c>
      <c r="J63" s="170">
        <v>17816</v>
      </c>
    </row>
    <row r="64" spans="2:10" x14ac:dyDescent="0.2">
      <c r="B64" t="s">
        <v>501</v>
      </c>
      <c r="C64">
        <v>3288</v>
      </c>
      <c r="D64">
        <v>769</v>
      </c>
      <c r="E64">
        <v>1647</v>
      </c>
      <c r="F64">
        <v>4773</v>
      </c>
      <c r="G64" s="170">
        <v>7533</v>
      </c>
      <c r="H64" s="170">
        <v>5156</v>
      </c>
      <c r="I64" s="170">
        <v>5293</v>
      </c>
      <c r="J64" s="170">
        <v>20952</v>
      </c>
    </row>
    <row r="65" spans="2:10" x14ac:dyDescent="0.2">
      <c r="B65" t="s">
        <v>502</v>
      </c>
      <c r="C65">
        <v>3197</v>
      </c>
      <c r="D65">
        <v>763</v>
      </c>
      <c r="E65">
        <v>1620</v>
      </c>
      <c r="F65">
        <v>3853</v>
      </c>
      <c r="G65" s="170">
        <v>7712</v>
      </c>
      <c r="H65" s="170">
        <v>4800</v>
      </c>
      <c r="I65" s="170">
        <v>5166</v>
      </c>
      <c r="J65" s="170">
        <v>17863</v>
      </c>
    </row>
    <row r="66" spans="2:10" x14ac:dyDescent="0.2">
      <c r="B66" t="s">
        <v>503</v>
      </c>
      <c r="C66">
        <v>3028</v>
      </c>
      <c r="D66">
        <v>740</v>
      </c>
      <c r="E66">
        <v>1606</v>
      </c>
      <c r="F66">
        <v>4508</v>
      </c>
      <c r="G66" s="170">
        <v>7398</v>
      </c>
      <c r="H66" s="170">
        <v>4435</v>
      </c>
      <c r="I66" s="170">
        <v>5202</v>
      </c>
      <c r="J66" s="170">
        <v>20176</v>
      </c>
    </row>
    <row r="67" spans="2:10" x14ac:dyDescent="0.2">
      <c r="B67" t="s">
        <v>504</v>
      </c>
      <c r="C67">
        <v>2377</v>
      </c>
      <c r="D67">
        <v>653</v>
      </c>
      <c r="E67">
        <v>1542</v>
      </c>
      <c r="F67">
        <v>4282</v>
      </c>
      <c r="G67" s="170">
        <v>6181</v>
      </c>
      <c r="H67" s="170">
        <v>4029</v>
      </c>
      <c r="I67" s="170">
        <v>5066</v>
      </c>
      <c r="J67" s="170">
        <v>18742</v>
      </c>
    </row>
    <row r="68" spans="2:10" x14ac:dyDescent="0.2">
      <c r="B68" t="s">
        <v>505</v>
      </c>
      <c r="C68">
        <v>2318</v>
      </c>
      <c r="D68">
        <v>642</v>
      </c>
      <c r="E68">
        <v>1592</v>
      </c>
      <c r="F68">
        <v>4174</v>
      </c>
      <c r="G68" s="170">
        <v>5675</v>
      </c>
      <c r="H68" s="170">
        <v>4170</v>
      </c>
      <c r="I68" s="170">
        <v>5508</v>
      </c>
      <c r="J68" s="170">
        <v>19352</v>
      </c>
    </row>
    <row r="69" spans="2:10" x14ac:dyDescent="0.2">
      <c r="B69" t="s">
        <v>506</v>
      </c>
      <c r="C69">
        <v>2326</v>
      </c>
      <c r="D69">
        <v>653</v>
      </c>
      <c r="E69">
        <v>1827</v>
      </c>
      <c r="F69">
        <v>3370</v>
      </c>
      <c r="G69" s="170">
        <v>5979</v>
      </c>
      <c r="H69" s="170">
        <v>4149</v>
      </c>
      <c r="I69" s="170">
        <v>5807</v>
      </c>
      <c r="J69" s="170">
        <v>16506</v>
      </c>
    </row>
    <row r="70" spans="2:10" x14ac:dyDescent="0.2">
      <c r="B70" t="s">
        <v>507</v>
      </c>
      <c r="C70">
        <v>2366</v>
      </c>
      <c r="D70">
        <v>719</v>
      </c>
      <c r="E70">
        <v>1824</v>
      </c>
      <c r="F70">
        <v>3736</v>
      </c>
      <c r="G70" s="170">
        <v>5809</v>
      </c>
      <c r="H70" s="170">
        <v>4579</v>
      </c>
      <c r="I70" s="170">
        <v>5784</v>
      </c>
      <c r="J70" s="170">
        <v>18643</v>
      </c>
    </row>
    <row r="71" spans="2:10" x14ac:dyDescent="0.2">
      <c r="B71" t="s">
        <v>508</v>
      </c>
      <c r="C71">
        <v>1918</v>
      </c>
      <c r="D71">
        <v>838</v>
      </c>
      <c r="E71">
        <v>1787</v>
      </c>
      <c r="F71">
        <v>3417</v>
      </c>
      <c r="G71" s="170">
        <v>5063</v>
      </c>
      <c r="H71" s="170">
        <v>5255</v>
      </c>
      <c r="I71" s="170">
        <v>5527</v>
      </c>
      <c r="J71" s="170">
        <v>16964</v>
      </c>
    </row>
    <row r="72" spans="2:10" x14ac:dyDescent="0.2">
      <c r="B72" t="s">
        <v>509</v>
      </c>
      <c r="C72">
        <v>1819</v>
      </c>
      <c r="D72">
        <v>936</v>
      </c>
      <c r="E72">
        <v>1891</v>
      </c>
      <c r="F72">
        <v>3630</v>
      </c>
      <c r="G72" s="170">
        <v>4714</v>
      </c>
      <c r="H72" s="170">
        <v>5748</v>
      </c>
      <c r="I72" s="170">
        <v>6029</v>
      </c>
      <c r="J72" s="170">
        <v>18266</v>
      </c>
    </row>
    <row r="73" spans="2:10" x14ac:dyDescent="0.2">
      <c r="B73" t="s">
        <v>510</v>
      </c>
      <c r="C73">
        <v>1973</v>
      </c>
      <c r="D73">
        <v>965</v>
      </c>
      <c r="E73">
        <v>1837</v>
      </c>
      <c r="F73">
        <v>2984</v>
      </c>
      <c r="G73" s="170">
        <v>4850</v>
      </c>
      <c r="H73" s="170">
        <v>5797</v>
      </c>
      <c r="I73" s="170">
        <v>5862</v>
      </c>
      <c r="J73" s="170">
        <v>14857</v>
      </c>
    </row>
    <row r="74" spans="2:10" x14ac:dyDescent="0.2">
      <c r="B74" t="s">
        <v>511</v>
      </c>
      <c r="C74">
        <v>1685</v>
      </c>
      <c r="D74">
        <v>1090</v>
      </c>
      <c r="E74">
        <v>1749</v>
      </c>
      <c r="F74">
        <v>3270</v>
      </c>
      <c r="G74" s="170">
        <v>4591</v>
      </c>
      <c r="H74" s="170">
        <v>6546</v>
      </c>
      <c r="I74" s="170">
        <v>5813</v>
      </c>
      <c r="J74" s="170">
        <v>16823</v>
      </c>
    </row>
    <row r="75" spans="2:10" x14ac:dyDescent="0.2">
      <c r="B75" t="s">
        <v>512</v>
      </c>
      <c r="C75">
        <v>1763</v>
      </c>
      <c r="D75">
        <v>988</v>
      </c>
      <c r="E75">
        <v>1765</v>
      </c>
      <c r="F75">
        <v>2842</v>
      </c>
      <c r="G75" s="170">
        <v>4164</v>
      </c>
      <c r="H75" s="170">
        <v>5879</v>
      </c>
      <c r="I75" s="170">
        <v>5512</v>
      </c>
      <c r="J75" s="170">
        <v>14718</v>
      </c>
    </row>
    <row r="76" spans="2:10" x14ac:dyDescent="0.2">
      <c r="B76" t="s">
        <v>513</v>
      </c>
      <c r="C76">
        <v>1730</v>
      </c>
      <c r="D76">
        <v>803</v>
      </c>
      <c r="E76">
        <v>1645</v>
      </c>
      <c r="F76">
        <v>2632</v>
      </c>
      <c r="G76" s="170">
        <v>4169</v>
      </c>
      <c r="H76" s="170">
        <v>4700</v>
      </c>
      <c r="I76" s="170">
        <v>5684</v>
      </c>
      <c r="J76" s="170">
        <v>13553</v>
      </c>
    </row>
    <row r="77" spans="2:10" x14ac:dyDescent="0.2">
      <c r="B77" t="s">
        <v>514</v>
      </c>
      <c r="C77">
        <v>277</v>
      </c>
      <c r="D77">
        <v>70</v>
      </c>
      <c r="E77">
        <v>505</v>
      </c>
      <c r="F77">
        <v>444</v>
      </c>
      <c r="G77" s="170">
        <v>860</v>
      </c>
      <c r="H77" s="170">
        <v>151</v>
      </c>
      <c r="I77" s="170">
        <v>1276</v>
      </c>
      <c r="J77" s="170">
        <v>815</v>
      </c>
    </row>
    <row r="78" spans="2:10" x14ac:dyDescent="0.2">
      <c r="B78" t="s">
        <v>394</v>
      </c>
      <c r="C78">
        <v>476</v>
      </c>
      <c r="D78">
        <v>32</v>
      </c>
      <c r="E78">
        <v>518</v>
      </c>
      <c r="F78">
        <v>270</v>
      </c>
      <c r="G78" s="170">
        <v>1319</v>
      </c>
      <c r="H78" s="170">
        <v>107</v>
      </c>
      <c r="I78" s="170">
        <v>1646</v>
      </c>
      <c r="J78" s="170">
        <v>876</v>
      </c>
    </row>
    <row r="79" spans="2:10" x14ac:dyDescent="0.2">
      <c r="B79" t="s">
        <v>395</v>
      </c>
      <c r="C79">
        <v>732</v>
      </c>
      <c r="D79">
        <v>84</v>
      </c>
      <c r="E79">
        <v>1157</v>
      </c>
      <c r="F79">
        <v>473</v>
      </c>
      <c r="G79" s="170">
        <v>2392</v>
      </c>
      <c r="H79" s="170">
        <v>241</v>
      </c>
      <c r="I79" s="170">
        <v>3542</v>
      </c>
      <c r="J79" s="170">
        <v>2228</v>
      </c>
    </row>
    <row r="80" spans="2:10" x14ac:dyDescent="0.2">
      <c r="B80" t="s">
        <v>396</v>
      </c>
      <c r="C80">
        <v>342</v>
      </c>
      <c r="D80">
        <v>137</v>
      </c>
      <c r="E80">
        <v>865</v>
      </c>
      <c r="F80">
        <v>738</v>
      </c>
      <c r="G80" s="170">
        <v>954</v>
      </c>
      <c r="H80" s="170">
        <v>697</v>
      </c>
      <c r="I80" s="170">
        <v>2766</v>
      </c>
      <c r="J80" s="170">
        <v>2492</v>
      </c>
    </row>
    <row r="81" spans="2:10" x14ac:dyDescent="0.2">
      <c r="B81" t="s">
        <v>397</v>
      </c>
      <c r="C81">
        <v>439</v>
      </c>
      <c r="D81">
        <v>421</v>
      </c>
      <c r="E81">
        <v>900</v>
      </c>
      <c r="F81">
        <v>696</v>
      </c>
      <c r="G81" s="170">
        <v>1456</v>
      </c>
      <c r="H81" s="170">
        <v>2368</v>
      </c>
      <c r="I81" s="170">
        <v>2935</v>
      </c>
      <c r="J81" s="170">
        <v>2390</v>
      </c>
    </row>
    <row r="82" spans="2:10" x14ac:dyDescent="0.2">
      <c r="B82" t="s">
        <v>398</v>
      </c>
      <c r="C82">
        <v>576</v>
      </c>
      <c r="D82">
        <v>428</v>
      </c>
      <c r="E82">
        <v>1183</v>
      </c>
      <c r="F82">
        <v>945</v>
      </c>
      <c r="G82" s="170">
        <v>2037</v>
      </c>
      <c r="H82" s="170">
        <v>2663</v>
      </c>
      <c r="I82" s="170">
        <v>4253</v>
      </c>
      <c r="J82" s="170">
        <v>3608</v>
      </c>
    </row>
    <row r="83" spans="2:10" x14ac:dyDescent="0.2">
      <c r="B83" t="s">
        <v>399</v>
      </c>
      <c r="C83">
        <v>953</v>
      </c>
      <c r="D83">
        <v>429</v>
      </c>
      <c r="E83">
        <v>1670</v>
      </c>
      <c r="F83">
        <v>1136</v>
      </c>
      <c r="G83" s="170">
        <v>3607</v>
      </c>
      <c r="H83" s="170">
        <v>2432</v>
      </c>
      <c r="I83" s="170">
        <v>5806</v>
      </c>
      <c r="J83" s="170">
        <v>4711</v>
      </c>
    </row>
    <row r="84" spans="2:10" x14ac:dyDescent="0.2">
      <c r="B84" t="s">
        <v>400</v>
      </c>
      <c r="C84">
        <v>1533</v>
      </c>
      <c r="D84">
        <v>429</v>
      </c>
      <c r="E84">
        <v>1764</v>
      </c>
      <c r="F84">
        <v>1562</v>
      </c>
      <c r="G84" s="170">
        <v>5889</v>
      </c>
      <c r="H84" s="170">
        <v>2715</v>
      </c>
      <c r="I84" s="170">
        <v>6307</v>
      </c>
      <c r="J84" s="170">
        <v>6423</v>
      </c>
    </row>
    <row r="85" spans="2:10" x14ac:dyDescent="0.2">
      <c r="B85" t="s">
        <v>401</v>
      </c>
      <c r="C85">
        <v>1573</v>
      </c>
      <c r="D85">
        <v>563</v>
      </c>
      <c r="E85">
        <v>1776</v>
      </c>
      <c r="F85">
        <v>1355</v>
      </c>
      <c r="G85" s="170">
        <v>5540</v>
      </c>
      <c r="H85" s="170">
        <v>3286</v>
      </c>
      <c r="I85" s="170">
        <v>6151</v>
      </c>
      <c r="J85" s="170">
        <v>5847</v>
      </c>
    </row>
    <row r="86" spans="2:10" x14ac:dyDescent="0.2">
      <c r="B86" t="s">
        <v>402</v>
      </c>
      <c r="C86">
        <v>1951</v>
      </c>
      <c r="D86">
        <v>662</v>
      </c>
      <c r="E86">
        <v>2020</v>
      </c>
      <c r="F86">
        <v>1978</v>
      </c>
      <c r="G86" s="170">
        <v>6092</v>
      </c>
      <c r="H86" s="170">
        <v>3466</v>
      </c>
      <c r="I86" s="170">
        <v>6529</v>
      </c>
      <c r="J86" s="170">
        <v>7348</v>
      </c>
    </row>
    <row r="87" spans="2:10" x14ac:dyDescent="0.2">
      <c r="B87" t="s">
        <v>403</v>
      </c>
      <c r="C87">
        <v>1997</v>
      </c>
      <c r="D87">
        <v>538</v>
      </c>
      <c r="E87">
        <v>1968</v>
      </c>
      <c r="F87">
        <v>1865</v>
      </c>
      <c r="G87" s="170">
        <v>6101</v>
      </c>
      <c r="H87" s="170">
        <v>2992</v>
      </c>
      <c r="I87" s="170">
        <v>5991</v>
      </c>
      <c r="J87" s="170">
        <v>7383</v>
      </c>
    </row>
    <row r="88" spans="2:10" x14ac:dyDescent="0.2">
      <c r="B88" t="s">
        <v>404</v>
      </c>
      <c r="C88">
        <v>2331</v>
      </c>
      <c r="D88">
        <v>625</v>
      </c>
      <c r="E88">
        <v>2295</v>
      </c>
      <c r="F88">
        <v>2130</v>
      </c>
      <c r="G88" s="170">
        <v>6817</v>
      </c>
      <c r="H88" s="170">
        <v>3845</v>
      </c>
      <c r="I88" s="170">
        <v>7015</v>
      </c>
      <c r="J88" s="170">
        <v>8562</v>
      </c>
    </row>
    <row r="89" spans="2:10" x14ac:dyDescent="0.2">
      <c r="B89" t="s">
        <v>405</v>
      </c>
      <c r="C89">
        <v>2987</v>
      </c>
      <c r="D89">
        <v>748</v>
      </c>
      <c r="E89">
        <v>2477</v>
      </c>
      <c r="F89">
        <v>1964</v>
      </c>
      <c r="G89" s="170">
        <v>7488</v>
      </c>
      <c r="H89" s="170">
        <v>3733</v>
      </c>
      <c r="I89" s="170">
        <v>7083</v>
      </c>
      <c r="J89" s="170">
        <v>7340</v>
      </c>
    </row>
    <row r="90" spans="2:10" x14ac:dyDescent="0.2">
      <c r="B90" t="s">
        <v>406</v>
      </c>
      <c r="C90">
        <v>3179</v>
      </c>
      <c r="D90">
        <v>739</v>
      </c>
      <c r="E90">
        <v>2510</v>
      </c>
      <c r="F90">
        <v>2320</v>
      </c>
      <c r="G90" s="170">
        <v>8398</v>
      </c>
      <c r="H90" s="170">
        <v>3940</v>
      </c>
      <c r="I90" s="170">
        <v>7090</v>
      </c>
      <c r="J90" s="170">
        <v>8618</v>
      </c>
    </row>
    <row r="91" spans="2:10" x14ac:dyDescent="0.2">
      <c r="B91" t="s">
        <v>407</v>
      </c>
      <c r="C91">
        <v>2968</v>
      </c>
      <c r="D91">
        <v>779</v>
      </c>
      <c r="E91">
        <v>2556</v>
      </c>
      <c r="F91">
        <v>2193</v>
      </c>
      <c r="G91" s="170">
        <v>7527</v>
      </c>
      <c r="H91" s="170">
        <v>4112</v>
      </c>
      <c r="I91" s="170">
        <v>6961</v>
      </c>
      <c r="J91" s="170">
        <v>8288</v>
      </c>
    </row>
    <row r="92" spans="2:10" x14ac:dyDescent="0.2">
      <c r="B92" t="s">
        <v>408</v>
      </c>
      <c r="C92">
        <v>2928</v>
      </c>
      <c r="D92">
        <v>940</v>
      </c>
      <c r="E92">
        <v>2777</v>
      </c>
      <c r="F92">
        <v>2381</v>
      </c>
      <c r="G92" s="170">
        <v>7861</v>
      </c>
      <c r="H92" s="170">
        <v>4933</v>
      </c>
      <c r="I92" s="170">
        <v>7481</v>
      </c>
      <c r="J92" s="170">
        <v>8958</v>
      </c>
    </row>
    <row r="93" spans="2:10" x14ac:dyDescent="0.2">
      <c r="B93" t="s">
        <v>409</v>
      </c>
      <c r="C93">
        <v>3437</v>
      </c>
      <c r="D93">
        <v>932</v>
      </c>
      <c r="E93">
        <v>2918</v>
      </c>
      <c r="F93">
        <v>2145</v>
      </c>
      <c r="G93" s="170">
        <v>8317</v>
      </c>
      <c r="H93" s="170">
        <v>5079</v>
      </c>
      <c r="I93" s="170">
        <v>7415</v>
      </c>
      <c r="J93" s="170">
        <v>8235</v>
      </c>
    </row>
    <row r="94" spans="2:10" x14ac:dyDescent="0.2">
      <c r="B94" t="s">
        <v>410</v>
      </c>
      <c r="C94">
        <v>3201</v>
      </c>
      <c r="D94">
        <v>1203</v>
      </c>
      <c r="E94">
        <v>3048</v>
      </c>
      <c r="F94">
        <v>2588</v>
      </c>
      <c r="G94" s="170">
        <v>8419</v>
      </c>
      <c r="H94" s="170">
        <v>6136</v>
      </c>
      <c r="I94" s="170">
        <v>7546</v>
      </c>
      <c r="J94" s="170">
        <v>8870</v>
      </c>
    </row>
    <row r="95" spans="2:10" x14ac:dyDescent="0.2">
      <c r="B95" t="s">
        <v>411</v>
      </c>
      <c r="C95">
        <v>2980</v>
      </c>
      <c r="D95">
        <v>1055</v>
      </c>
      <c r="E95">
        <v>2731</v>
      </c>
      <c r="F95">
        <v>2773</v>
      </c>
      <c r="G95" s="170">
        <v>7688</v>
      </c>
      <c r="H95" s="170">
        <v>5683</v>
      </c>
      <c r="I95" s="170">
        <v>6854</v>
      </c>
      <c r="J95" s="170">
        <v>8919</v>
      </c>
    </row>
    <row r="96" spans="2:10" x14ac:dyDescent="0.2">
      <c r="B96" t="s">
        <v>412</v>
      </c>
      <c r="C96">
        <v>2632</v>
      </c>
      <c r="D96">
        <v>1128</v>
      </c>
      <c r="E96">
        <v>2549</v>
      </c>
      <c r="F96">
        <v>2638</v>
      </c>
      <c r="G96" s="170">
        <v>7352</v>
      </c>
      <c r="H96" s="170">
        <v>6368</v>
      </c>
      <c r="I96" s="170">
        <v>7100</v>
      </c>
      <c r="J96" s="170">
        <v>8985</v>
      </c>
    </row>
    <row r="97" spans="2:10" x14ac:dyDescent="0.2">
      <c r="B97" t="s">
        <v>413</v>
      </c>
      <c r="C97">
        <v>2926</v>
      </c>
      <c r="D97">
        <v>1103</v>
      </c>
      <c r="E97">
        <v>2572</v>
      </c>
      <c r="F97">
        <v>2222</v>
      </c>
      <c r="G97" s="170">
        <v>7269</v>
      </c>
      <c r="H97" s="170">
        <v>6222</v>
      </c>
      <c r="I97" s="170">
        <v>7020</v>
      </c>
      <c r="J97" s="170">
        <v>7493</v>
      </c>
    </row>
    <row r="98" spans="2:10" x14ac:dyDescent="0.2">
      <c r="B98" t="s">
        <v>414</v>
      </c>
      <c r="C98">
        <v>2682</v>
      </c>
      <c r="D98">
        <v>1073</v>
      </c>
      <c r="E98">
        <v>2590</v>
      </c>
      <c r="F98">
        <v>2564</v>
      </c>
      <c r="G98" s="170">
        <v>7124</v>
      </c>
      <c r="H98" s="170">
        <v>5828</v>
      </c>
      <c r="I98" s="170">
        <v>7056</v>
      </c>
      <c r="J98" s="170">
        <v>8599</v>
      </c>
    </row>
    <row r="99" spans="2:10" x14ac:dyDescent="0.2">
      <c r="B99" t="s">
        <v>415</v>
      </c>
      <c r="G99" s="171">
        <v>6367</v>
      </c>
      <c r="H99" s="171">
        <v>4193</v>
      </c>
      <c r="I99" s="171">
        <v>6638</v>
      </c>
      <c r="J99" s="171">
        <v>7924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135E7110ED1149A095EAF3E475885F" ma:contentTypeVersion="4" ma:contentTypeDescription="Create a new document." ma:contentTypeScope="" ma:versionID="e7f8b842c841e7ec73c7480fa6bbedb4">
  <xsd:schema xmlns:xsd="http://www.w3.org/2001/XMLSchema" xmlns:xs="http://www.w3.org/2001/XMLSchema" xmlns:p="http://schemas.microsoft.com/office/2006/metadata/properties" xmlns:ns2="61cd099e-fda8-4d24-9efb-0d237bfa86c8" xmlns:ns3="fff20438-b414-40cd-b54f-4096d4d01fe9" xmlns:ns4="3adc6215-9c33-4f5a-a77a-2a37b4c640a2" xmlns:ns5="8c9ea200-3579-4bdf-a74b-4a4690bd959d" targetNamespace="http://schemas.microsoft.com/office/2006/metadata/properties" ma:root="true" ma:fieldsID="cd2ca56bb66b334f33656cab4a424d30" ns2:_="" ns3:_="" ns4:_="" ns5:_="">
    <xsd:import namespace="61cd099e-fda8-4d24-9efb-0d237bfa86c8"/>
    <xsd:import namespace="fff20438-b414-40cd-b54f-4096d4d01fe9"/>
    <xsd:import namespace="3adc6215-9c33-4f5a-a77a-2a37b4c640a2"/>
    <xsd:import namespace="8c9ea200-3579-4bdf-a74b-4a4690bd95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d099e-fda8-4d24-9efb-0d237bfa86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20438-b414-40cd-b54f-4096d4d01fe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dc6215-9c33-4f5a-a77a-2a37b4c640a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bc4632c-c0dc-4527-9b44-4e2626a7d4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ea200-3579-4bdf-a74b-4a4690bd959d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547249c2-a681-4f5a-9a68-809722d0eadc}" ma:internalName="TaxCatchAll" ma:showField="CatchAllData" ma:web="8c9ea200-3579-4bdf-a74b-4a4690bd95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dc6215-9c33-4f5a-a77a-2a37b4c640a2">
      <Terms xmlns="http://schemas.microsoft.com/office/infopath/2007/PartnerControls"/>
    </lcf76f155ced4ddcb4097134ff3c332f>
    <TaxCatchAll xmlns="8c9ea200-3579-4bdf-a74b-4a4690bd959d" xsi:nil="true"/>
  </documentManagement>
</p:properties>
</file>

<file path=customXml/itemProps1.xml><?xml version="1.0" encoding="utf-8"?>
<ds:datastoreItem xmlns:ds="http://schemas.openxmlformats.org/officeDocument/2006/customXml" ds:itemID="{8D4838C9-A95F-45C5-BC0F-725626CF75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cd099e-fda8-4d24-9efb-0d237bfa86c8"/>
    <ds:schemaRef ds:uri="fff20438-b414-40cd-b54f-4096d4d01fe9"/>
    <ds:schemaRef ds:uri="3adc6215-9c33-4f5a-a77a-2a37b4c640a2"/>
    <ds:schemaRef ds:uri="8c9ea200-3579-4bdf-a74b-4a4690bd95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D75E39-9CB0-4583-8A0A-A9BB8072F9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75C1F4-FDE2-4A9C-815E-53EB99984028}">
  <ds:schemaRefs>
    <ds:schemaRef ds:uri="http://schemas.microsoft.com/office/2006/metadata/properties"/>
    <ds:schemaRef ds:uri="http://schemas.microsoft.com/office/infopath/2007/PartnerControls"/>
    <ds:schemaRef ds:uri="3adc6215-9c33-4f5a-a77a-2a37b4c640a2"/>
    <ds:schemaRef ds:uri="8c9ea200-3579-4bdf-a74b-4a4690bd95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Content</vt:lpstr>
      <vt:lpstr>Gaurantor EPLS</vt:lpstr>
      <vt:lpstr>Gaurantor EHS</vt:lpstr>
      <vt:lpstr>Households in PRS</vt:lpstr>
      <vt:lpstr>Household type by tenure</vt:lpstr>
      <vt:lpstr>Length of stay</vt:lpstr>
      <vt:lpstr>Category 1 hazard</vt:lpstr>
      <vt:lpstr>Type of lets</vt:lpstr>
      <vt:lpstr>Met Illegal eviction</vt:lpstr>
      <vt:lpstr>Landlord type</vt:lpstr>
      <vt:lpstr>Size of portfolio</vt:lpstr>
      <vt:lpstr>Citizen advice trends</vt:lpstr>
      <vt:lpstr>PIPR Annual change</vt:lpstr>
      <vt:lpstr>Rightmove Rental Price Tracker</vt:lpstr>
      <vt:lpstr>Homelet Rental Index</vt:lpstr>
      <vt:lpstr>RICS rental sentiment</vt:lpstr>
      <vt:lpstr>Buy to let mortgage</vt:lpstr>
      <vt:lpstr>Prevention duty by reason</vt:lpstr>
      <vt:lpstr>Relief duty by reason</vt:lpstr>
      <vt:lpstr>Prevention duty S21</vt:lpstr>
      <vt:lpstr>Rental supply rightmove</vt:lpstr>
      <vt:lpstr>Rental supply by price</vt:lpstr>
      <vt:lpstr>Spareroom Demand Supply</vt:lpstr>
      <vt:lpstr>Repossessions</vt:lpstr>
    </vt:vector>
  </TitlesOfParts>
  <Manager/>
  <Company>Transport for London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Guk Yu</dc:creator>
  <cp:keywords/>
  <dc:description/>
  <cp:lastModifiedBy>Yu, Guk</cp:lastModifiedBy>
  <cp:revision/>
  <dcterms:created xsi:type="dcterms:W3CDTF">2026-02-18T11:42:53Z</dcterms:created>
  <dcterms:modified xsi:type="dcterms:W3CDTF">2026-05-11T14:10:14Z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0x010100B2135E7110ED1149A095EAF3E475885F</vt:lpwstr>
  </property>
  <property fmtid="{D5CDD505-2E9C-101B-9397-08002B2CF9AE}" pid="3" name="MediaServiceImageTags">
    <vt:lpwstr/>
  </property>
</Properties>
</file>