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7F77E197-4A47-8840-B2D9-D5896DA5D78E}" xr6:coauthVersionLast="47" xr6:coauthVersionMax="47" xr10:uidLastSave="{00000000-0000-0000-0000-000000000000}"/>
  <bookViews>
    <workbookView xWindow="58400" yWindow="10480" windowWidth="10000" windowHeight="7460" tabRatio="881" firstSheet="22" activeTab="23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  <sheet name="Spareroom Demand Supply" sheetId="23" r:id="rId23"/>
    <sheet name="Repossessions" sheetId="24" r:id="rId24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<sst xmlns="http://schemas.openxmlformats.org/spreadsheetml/2006/main" count="1463" uniqueCount="657">
  <si>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</si>
  <si>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</si>
  <si>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</si>
  <si>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</si>
  <si>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</si>
  <si>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</si>
  <si>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</si>
  <si>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</si>
  <si>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</si>
  <si>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</si>
  <si>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</si>
  <si>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</si>
  <si>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</si>
  <si>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</si>
  <si>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</si>
  <si>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</si>
  <si>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</si>
  <si>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</si>
  <si>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</si>
  <si>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</si>
  <si>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</si>
  <si>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</si>
  <si>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</si>
  <si>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</si>
  <si>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</si>
  <si>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</si>
  <si>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</si>
  <si>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</si>
  <si>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</si>
  <si>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</si>
  <si>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</si>
  <si>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</si>
  <si>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</si>
  <si>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</si>
  <si>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</si>
  <si>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</si>
  <si>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</si>
  <si>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</si>
  <si>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</si>
  <si>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</si>
  <si>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</si>
  <si>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</si>
  <si>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</si>
  <si>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</si>
  <si>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</si>
  <si>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</si>
  <si>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</si>
  <si>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</si>
  <si>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</si>
  <si>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</si>
  <si>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</si>
  <si>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</si>
  <si>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</si>
  <si>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</si>
  <si>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</si>
  <si>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</si>
  <si>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</si>
  <si>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</si>
  <si>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</si>
  <si>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</si>
  <si>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</si>
  <si>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</si>
  <si>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</si>
  <si>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</si>
  <si>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</si>
  <si>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</si>
  <si>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</si>
  <si>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</si>
  <si>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</si>
  <si>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</si>
  <si>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</si>
  <si>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</si>
  <si>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</si>
  <si>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</si>
  <si>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</si>
  <si>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</si>
  <si>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</si>
  <si>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</si>
  <si>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</si>
  <si>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</si>
  <si>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</si>
  <si>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</si>
  <si>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</si>
  <si>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</si>
  <si>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</si>
  <si>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</si>
  <si>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</si>
  <si>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</si>
  <si>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</si>
  <si>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</si>
  <si>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</si>
  <si>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</si>
  <si>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</si>
  <si>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</si>
  <si>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</si>
  <si>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</si>
  <si>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</si>
  <si>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</si>
  <si>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</si>
  <si>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</si>
  <si>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</si>
  <si>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</si>
  <si>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</si>
  <si>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</si>
  <si>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</si>
  <si>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</si>
  <si>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</si>
  <si>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</si>
  <si>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</si>
  <si>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</si>
  <si>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</si>
  <si>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</si>
  <si>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</si>
  <si>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</si>
  <si>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</si>
  <si>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</si>
  <si>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</si>
  <si>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</si>
  <si>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</si>
  <si>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</si>
  <si>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</si>
  <si>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</si>
  <si>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</si>
  <si>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</si>
  <si>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</si>
  <si>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</si>
  <si>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</si>
  <si>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</si>
  <si>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</si>
  <si>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</si>
  <si>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</si>
  <si>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</si>
  <si>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</si>
  <si>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</si>
  <si>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</si>
  <si>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</si>
  <si>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</si>
  <si>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</si>
  <si>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</si>
  <si>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</si>
  <si>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</si>
  <si>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</si>
  <si>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</si>
  <si>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</si>
  <si>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</si>
  <si>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</si>
  <si>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</si>
  <si>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</si>
  <si>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</si>
  <si>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</si>
  <si>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</si>
  <si>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</si>
  <si>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</si>
  <si>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</si>
  <si>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</si>
  <si>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</si>
  <si>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</si>
  <si>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</si>
  <si>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</si>
  <si>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</si>
  <si>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</si>
  <si>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</si>
  <si>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</si>
  <si>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</si>
  <si>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</si>
  <si>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</si>
  <si>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</si>
  <si>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</si>
  <si>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</si>
  <si>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</si>
  <si>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</si>
  <si>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</si>
  <si>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</si>
  <si>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</si>
  <si>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</si>
  <si>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</si>
  <si>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</si>
  <si>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</si>
  <si>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</si>
  <si>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</si>
  <si>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</si>
  <si>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</si>
  <si>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</si>
  <si>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</si>
  <si>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</si>
  <si>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</si>
  <si>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</si>
  <si>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</si>
  <si>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</si>
  <si>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</si>
  <si>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</si>
  <si>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</si>
  <si>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</si>
  <si>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</si>
  <si>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</si>
  <si>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</si>
  <si>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</si>
  <si>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</si>
  <si>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</si>
  <si>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</si>
  <si>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</si>
  <si>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</si>
  <si>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</si>
  <si>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</si>
  <si>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</si>
  <si>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</si>
  <si>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</si>
  <si>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</si>
  <si>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</si>
  <si>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</si>
  <si>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</si>
  <si>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</si>
  <si>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</si>
  <si>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</si>
  <si>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</si>
  <si>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</si>
  <si>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</si>
  <si>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</si>
  <si>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</si>
  <si>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</si>
  <si>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</si>
  <si>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</si>
  <si>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</si>
  <si>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</si>
  <si>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</si>
  <si>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</si>
  <si>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</si>
  <si>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</si>
  <si>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</si>
  <si>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</si>
  <si>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</si>
  <si>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</si>
  <si>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</si>
  <si>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</si>
  <si>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</si>
  <si>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</si>
  <si>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</si>
  <si>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</si>
  <si>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</si>
  <si>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</si>
  <si>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</si>
  <si>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</si>
  <si>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</si>
  <si>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</si>
  <si>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</si>
  <si>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</si>
  <si>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</si>
  <si>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</si>
  <si>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</si>
  <si>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</si>
  <si>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</si>
  <si>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</si>
  <si>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</si>
  <si>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</si>
  <si>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</si>
  <si>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</si>
  <si>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</si>
  <si>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</si>
  <si>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</si>
  <si>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</si>
  <si>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</si>
  <si>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</si>
  <si>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</si>
  <si>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</si>
  <si>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</si>
  <si>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</si>
  <si>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</si>
  <si>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</si>
  <si>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</si>
  <si>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</si>
  <si>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</si>
  <si>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</si>
  <si>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</si>
  <si>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</si>
  <si>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</si>
  <si>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</si>
  <si>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</si>
  <si>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</si>
  <si>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</si>
  <si>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</si>
  <si>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</si>
  <si>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</si>
  <si>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</si>
  <si>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</si>
  <si>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</si>
  <si>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</si>
  <si>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</si>
  <si>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</si>
  <si>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</si>
  <si>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</si>
  <si>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</si>
  <si>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</si>
  <si>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</si>
  <si>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</si>
  <si>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</si>
  <si>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</si>
  <si>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</si>
  <si>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</si>
  <si>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</si>
  <si>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</si>
  <si>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</si>
  <si>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</si>
  <si>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</si>
  <si>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</si>
  <si>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</si>
  <si>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</si>
  <si>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</si>
  <si>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</si>
  <si>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</si>
  <si>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</si>
  <si>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</si>
  <si>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</si>
  <si>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</si>
  <si>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</si>
  <si>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</si>
  <si>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</si>
  <si>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</si>
  <si>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</si>
  <si>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</si>
  <si>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</si>
  <si>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</si>
  <si>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</si>
  <si>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</si>
  <si>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</si>
  <si>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</si>
  <si>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</si>
  <si>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</si>
  <si>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</si>
  <si>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</si>
  <si>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</si>
  <si>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</si>
  <si>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</si>
  <si>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</si>
  <si>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</si>
  <si>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</si>
  <si>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</si>
  <si>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</si>
  <si>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</si>
  <si>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</si>
  <si>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</si>
  <si>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</si>
  <si>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</si>
  <si>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</si>
  <si>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</si>
  <si>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</si>
  <si>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</si>
  <si>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</si>
  <si>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</si>
  <si>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</si>
  <si>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</si>
  <si>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</si>
  <si>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</si>
  <si>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</si>
  <si>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</si>
  <si>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</si>
  <si>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</si>
  <si>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</si>
  <si>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</si>
  <si>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</si>
  <si>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</si>
  <si>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</si>
  <si>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</si>
  <si>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</si>
  <si>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</si>
  <si>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</si>
  <si>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</si>
  <si>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</si>
  <si>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</si>
  <si>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</si>
  <si>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</si>
  <si>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</si>
  <si>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</si>
  <si>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</si>
  <si>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</si>
  <si>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</si>
  <si>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</si>
  <si>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</si>
  <si>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</si>
  <si>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</si>
  <si>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</si>
  <si>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</si>
  <si>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</si>
  <si>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</si>
  <si>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</si>
  <si>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</si>
  <si>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</si>
  <si>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</si>
  <si>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</si>
  <si>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</si>
  <si>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</si>
  <si>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</si>
  <si>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</si>
  <si>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</si>
  <si>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</si>
  <si>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</si>
  <si>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</si>
  <si>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</si>
  <si>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</si>
  <si>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</si>
  <si>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</si>
  <si>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</si>
  <si>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</si>
  <si>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</si>
  <si>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</si>
  <si>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</si>
  <si>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</si>
  <si>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</si>
  <si>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</si>
  <si>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</si>
  <si>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</si>
  <si>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</si>
  <si>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</si>
  <si>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</si>
  <si>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</si>
  <si>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</si>
  <si>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</si>
  <si>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</si>
  <si>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</si>
  <si>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</si>
  <si>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</si>
  <si>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</si>
  <si>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</si>
  <si>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</si>
  <si>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</si>
  <si>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</si>
  <si>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</si>
  <si>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</si>
  <si>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</si>
  <si>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</si>
  <si>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</si>
  <si>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</si>
  <si>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</si>
  <si>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</si>
  <si>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</si>
  <si>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</si>
  <si>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</si>
  <si>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</si>
  <si>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</si>
  <si>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</si>
  <si>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</si>
  <si>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</si>
  <si>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</si>
  <si>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</si>
  <si>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</si>
  <si>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</si>
  <si>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</si>
  <si>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</si>
  <si>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</si>
  <si>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</si>
  <si>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</si>
  <si>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</si>
  <si>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</si>
  <si>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</si>
  <si>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</si>
  <si>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</si>
  <si>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</si>
  <si>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</si>
  <si>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</si>
  <si>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</si>
  <si>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</si>
  <si>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</si>
  <si>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</si>
  <si>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</si>
  <si>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</si>
  <si>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</si>
  <si>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</si>
  <si>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</si>
  <si>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</si>
  <si>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</si>
  <si>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</si>
  <si>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</si>
  <si>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</si>
  <si>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</si>
  <si>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</si>
  <si>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</si>
  <si>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</si>
  <si>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</si>
  <si>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</si>
  <si>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</si>
  <si>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</si>
  <si>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</si>
  <si>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</si>
  <si>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</si>
  <si>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</si>
  <si>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</si>
  <si>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</si>
  <si>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</si>
  <si>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</si>
  <si>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</si>
  <si>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</si>
  <si>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</si>
  <si>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</si>
  <si>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</si>
  <si>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</si>
  <si>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</si>
  <si>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</si>
  <si>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</si>
  <si>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</si>
  <si>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</si>
  <si>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</si>
  <si>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</si>
  <si>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</si>
  <si>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</si>
  <si>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</si>
  <si>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</si>
  <si>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</si>
  <si>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</si>
  <si>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</si>
  <si>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</si>
  <si>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</si>
  <si>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</si>
  <si>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</si>
  <si>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</si>
  <si>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</si>
  <si>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</si>
  <si>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</si>
  <si>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</si>
  <si>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</si>
  <si>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</si>
  <si>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</si>
  <si>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</si>
  <si>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</si>
  <si>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</si>
  <si>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</si>
  <si>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</si>
  <si>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</si>
  <si>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</si>
  <si>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</si>
  <si>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</si>
  <si>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</si>
  <si>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</si>
  <si>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</si>
  <si>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</si>
  <si>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</si>
  <si>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</si>
  <si>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</si>
  <si>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Day of week</t>
  </si>
  <si>
    <t>24 hours</t>
  </si>
  <si>
    <t>7 days</t>
  </si>
  <si>
    <t>14 days</t>
  </si>
  <si>
    <t>Any time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</si>
  <si>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</si>
  <si>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</si>
  <si>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</si>
  <si>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</si>
  <si>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</si>
  <si>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</si>
  <si>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</si>
  <si>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</si>
  <si>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</si>
  <si>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</si>
  <si>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</si>
  <si>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</si>
  <si>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</si>
  <si>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</si>
  <si>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</si>
  <si>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</si>
  <si>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</si>
  <si>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</si>
  <si>
    <t>Rooms to rent</t>
  </si>
  <si>
    <t>People searching</t>
  </si>
  <si>
    <t>9/25/2018</t>
  </si>
  <si>
    <t>7/31/2019</t>
  </si>
  <si>
    <t>10/15/2019</t>
  </si>
  <si>
    <t>4/16/2020</t>
  </si>
  <si>
    <t>6/21/2020</t>
  </si>
  <si>
    <t>9/18/2020</t>
  </si>
  <si>
    <t>11/18/2020</t>
  </si>
  <si>
    <t>12/15/2020</t>
  </si>
  <si>
    <t>1/27/2021</t>
  </si>
  <si>
    <t>2/23/2021</t>
  </si>
  <si>
    <t>3/23/2021</t>
  </si>
  <si>
    <t>4/20/2021</t>
  </si>
  <si>
    <t>5/18/2021</t>
  </si>
  <si>
    <t>6/15/2021</t>
  </si>
  <si>
    <t>6/29/2021</t>
  </si>
  <si>
    <t>7/13/2021</t>
  </si>
  <si>
    <t>7/27/2021</t>
  </si>
  <si>
    <t>8/24/2021</t>
  </si>
  <si>
    <t>9/21/2021</t>
  </si>
  <si>
    <t>10/19/2021</t>
  </si>
  <si>
    <t>11/16/2021</t>
  </si>
  <si>
    <t>11/30/2021</t>
  </si>
  <si>
    <t>12/14/2021</t>
  </si>
  <si>
    <t>12/29/2021</t>
  </si>
  <si>
    <t>1/25/2022</t>
  </si>
  <si>
    <t>2/22/2022</t>
  </si>
  <si>
    <t>3/22/2022</t>
  </si>
  <si>
    <t>4/19/2022</t>
  </si>
  <si>
    <t>5/17/2022</t>
  </si>
  <si>
    <t>5/31/2022</t>
  </si>
  <si>
    <t>6/14/2022</t>
  </si>
  <si>
    <t>7/26/2022</t>
  </si>
  <si>
    <t>8/23/2022</t>
  </si>
  <si>
    <t>9/20/2022</t>
  </si>
  <si>
    <t>10/19/2022</t>
  </si>
  <si>
    <t>11/15/2022</t>
  </si>
  <si>
    <t>11/29/2022</t>
  </si>
  <si>
    <t>12/13/2022</t>
  </si>
  <si>
    <t>12/30/2022</t>
  </si>
  <si>
    <t>1/24/2023</t>
  </si>
  <si>
    <t>2/21/2023</t>
  </si>
  <si>
    <t>3/21/2023</t>
  </si>
  <si>
    <t>4/18/2023</t>
  </si>
  <si>
    <t>5/16/2023</t>
  </si>
  <si>
    <t>5/30/2023</t>
  </si>
  <si>
    <t>6/13/2023</t>
  </si>
  <si>
    <t>6/27/2023</t>
  </si>
  <si>
    <t>7/25/2023</t>
  </si>
  <si>
    <t>8/22/2023</t>
  </si>
  <si>
    <t>9/19/2023</t>
  </si>
  <si>
    <t>10/17/2023</t>
  </si>
  <si>
    <t>10/31/2023</t>
  </si>
  <si>
    <t>11/14/2023</t>
  </si>
  <si>
    <t>11/28/2023</t>
  </si>
  <si>
    <t>12/13/2023</t>
  </si>
  <si>
    <t>1/23/2024</t>
  </si>
  <si>
    <t>2/20/2024</t>
  </si>
  <si>
    <t>3/19/2024</t>
  </si>
  <si>
    <t>4/16/2024</t>
  </si>
  <si>
    <t>5/14/2024</t>
  </si>
  <si>
    <t>5/28/2024</t>
  </si>
  <si>
    <t>6/25/2024</t>
  </si>
  <si>
    <t>7/23/2024</t>
  </si>
  <si>
    <t>8/20/2024</t>
  </si>
  <si>
    <t>9/17/2024</t>
  </si>
  <si>
    <t>10/15/2024</t>
  </si>
  <si>
    <t>10/29/2024</t>
  </si>
  <si>
    <t>11/26/2024</t>
  </si>
  <si>
    <t>12/24/2024</t>
  </si>
  <si>
    <t>1/21/2025</t>
  </si>
  <si>
    <t>2/18/2025</t>
  </si>
  <si>
    <t>3/18/2025</t>
  </si>
  <si>
    <t>4/15/2025</t>
  </si>
  <si>
    <t>5/13/2025</t>
  </si>
  <si>
    <t>5/27/2025</t>
  </si>
  <si>
    <t>6/24/2025</t>
  </si>
  <si>
    <t>7/22/2025</t>
  </si>
  <si>
    <t>8/19/2025</t>
  </si>
  <si>
    <t>9/16/2025</t>
  </si>
  <si>
    <t>9/30/2025</t>
  </si>
  <si>
    <t>10/14/2025</t>
  </si>
  <si>
    <t>10/28/2025</t>
  </si>
  <si>
    <t>11/17/2025</t>
  </si>
  <si>
    <t>11/25/2025</t>
  </si>
  <si>
    <t>12/30/2025</t>
  </si>
  <si>
    <t>1/20/2026</t>
  </si>
  <si>
    <t>03/20/2026</t>
  </si>
  <si>
    <t>2/17/2026</t>
  </si>
  <si>
    <t>Number of rooms to rent and flatmates/roommates looking in London</t>
  </si>
  <si>
    <t>GLA collected Spareroom data</t>
  </si>
  <si>
    <t>Accelerated_Landlord</t>
  </si>
  <si>
    <t>Mortgage</t>
  </si>
  <si>
    <t>Private_Landlord</t>
  </si>
  <si>
    <t>Social_Landlord</t>
  </si>
  <si>
    <t>MOJ</t>
  </si>
  <si>
    <t>Number of repossession in 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</si>
</sst>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7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3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0" fontId="17" fillId="2" borderId="0" xfId="0" applyFont="1" applyFill="1"/>
    <xf numFmtId="9" fontId="17" fillId="0" borderId="0" xfId="1" applyFont="1" applyAlignment="1">
      <alignment horizontal="right"/>
    </xf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34" fillId="7" borderId="0" xfId="0" applyFont="1" applyFill="1"/>
    <xf numFmtId="0" fontId="35" fillId="7" borderId="0" xfId="0" applyFont="1" applyFill="1"/>
    <xf numFmtId="3" fontId="24" fillId="8" borderId="0" xfId="0" applyNumberFormat="1" applyFont="1" applyFill="1"/>
    <xf numFmtId="0" fontId="24" fillId="8" borderId="0" xfId="0" applyFont="1" applyFill="1"/>
    <xf numFmtId="3" fontId="24" fillId="0" borderId="0" xfId="0" applyNumberFormat="1" applyFont="1"/>
    <xf numFmtId="0" fontId="36" fillId="8" borderId="0" xfId="0" applyFont="1" applyFill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8" borderId="0" xfId="0" applyNumberFormat="1" applyFont="1" applyFill="1" applyAlignment="1">
      <alignment horizontal="left"/>
    </xf>
    <xf numFmtId="0" fontId="24" fillId="0" borderId="0" xfId="0" applyFont="1" applyAlignment="1">
      <alignment horizontal="left"/>
    </xf>
    <xf numFmtId="0" fontId="24" fillId="8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1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26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814102</xdr:colOff>
      <xdr:row>2</xdr:row>
      <xdr:rowOff>98222</xdr:rowOff>
    </xdr:from>
    <xdr:to>
      <xdr:col>19</xdr:col>
      <xdr:colOff>312584</xdr:colOff>
      <xdr:row>20</xdr:row>
      <xdr:rowOff>179103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189769</xdr:rowOff>
    </xdr:from>
    <xdr:to>
      <xdr:col>19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383112</xdr:colOff>
      <xdr:row>2</xdr:row>
      <xdr:rowOff>152400</xdr:rowOff>
    </xdr:from>
    <xdr:to>
      <xdr:col>19</xdr:col>
      <xdr:colOff>507999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G261" totalsRowShown="0" headerRowDxfId="20" dataDxfId="18" headerRowBorderDxfId="19" tableBorderDxfId="17">
  <autoFilter ref="B8:G261" xr:uid="{FE611FB1-BF03-40DE-8677-6AFFD2215778}"/>
  <tableColumns count="6">
    <tableColumn id="1" xr3:uid="{D29918B2-C26E-43FA-AB04-73DE539150C7}" name="Date" dataDxfId="16"/>
    <tableColumn id="2" xr3:uid="{76D3416A-F3E3-4B7B-B460-3DD309F13C94}" name="Day of week" dataDxfId="15">
      <calculatedColumnFormula>WEEKDAY(B9,2)</calculatedColumnFormula>
    </tableColumn>
    <tableColumn id="3" xr3:uid="{B5245C28-6BC8-40BB-8623-C7176F42B155}" name="24 hours" dataDxfId="14"/>
    <tableColumn id="4" xr3:uid="{1D667CD3-7DC1-4130-BD59-4A0CEF9434E5}" name="7 days" dataDxfId="13"/>
    <tableColumn id="5" xr3:uid="{669AC3E7-8FD6-404D-BB20-54199058DDE4}" name="14 days" dataDxfId="12"/>
    <tableColumn id="6" xr3:uid="{3A83037B-DEDE-49BE-830D-91A2CDA3A379}" name="Any tim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2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3"/>
      <c r="F4" s="117"/>
    </row>
    <row r="5" spans="2:6" ht="18" thickBot="1" x14ac:dyDescent="0.25">
      <c r="B5" s="28" t="s">
        <v>5</v>
      </c>
      <c r="C5" s="22" t="s">
        <v>10</v>
      </c>
      <c r="D5" s="23"/>
      <c r="E5" s="184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6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78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6" t="s">
        <v>32</v>
      </c>
      <c r="C15" s="21" t="s">
        <v>6</v>
      </c>
      <c r="D15" s="176" t="s">
        <v>7</v>
      </c>
      <c r="E15" s="182"/>
      <c r="F15" s="116" t="s">
        <v>8</v>
      </c>
    </row>
    <row r="16" spans="2:6" ht="18" thickBot="1" x14ac:dyDescent="0.25">
      <c r="B16" s="178"/>
      <c r="C16" s="22" t="s">
        <v>33</v>
      </c>
      <c r="D16" s="178"/>
      <c r="E16" s="184"/>
      <c r="F16" s="118"/>
    </row>
    <row r="17" spans="2:6" ht="17" x14ac:dyDescent="0.2">
      <c r="B17" s="176" t="s">
        <v>34</v>
      </c>
      <c r="C17" s="21" t="s">
        <v>6</v>
      </c>
      <c r="D17" s="21" t="s">
        <v>7</v>
      </c>
      <c r="E17" s="182"/>
      <c r="F17" s="116"/>
    </row>
    <row r="18" spans="2:6" ht="18" thickBot="1" x14ac:dyDescent="0.25">
      <c r="B18" s="178"/>
      <c r="C18" s="80" t="s">
        <v>35</v>
      </c>
      <c r="D18" s="80" t="s">
        <v>7</v>
      </c>
      <c r="E18" s="184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91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2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5"/>
      <c r="F27" s="116"/>
    </row>
    <row r="28" spans="2:6" ht="17" x14ac:dyDescent="0.2">
      <c r="B28" s="20"/>
      <c r="C28" s="21" t="s">
        <v>56</v>
      </c>
      <c r="D28" s="21" t="s">
        <v>57</v>
      </c>
      <c r="E28" s="186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7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8" t="s">
        <v>64</v>
      </c>
      <c r="C32" s="189"/>
      <c r="D32" s="189"/>
      <c r="E32" s="190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6" t="s">
        <v>68</v>
      </c>
      <c r="C34" s="21" t="s">
        <v>69</v>
      </c>
      <c r="D34" s="176" t="s">
        <v>70</v>
      </c>
      <c r="E34" s="179"/>
      <c r="F34" s="51"/>
    </row>
    <row r="35" spans="2:6" ht="17" x14ac:dyDescent="0.2">
      <c r="B35" s="177"/>
      <c r="C35" s="21" t="s">
        <v>71</v>
      </c>
      <c r="D35" s="177"/>
      <c r="E35" s="180"/>
      <c r="F35" s="51"/>
    </row>
    <row r="36" spans="2:6" ht="18" thickBot="1" x14ac:dyDescent="0.25">
      <c r="B36" s="178"/>
      <c r="C36" s="22" t="s">
        <v>72</v>
      </c>
      <c r="D36" s="178"/>
      <c r="E36" s="181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58" t="s">
        <v>91</v>
      </c>
      <c r="C7" s="158" t="s">
        <v>92</v>
      </c>
      <c r="D7" s="158" t="s">
        <v>93</v>
      </c>
    </row>
    <row r="8" spans="2:5" ht="17" x14ac:dyDescent="0.2">
      <c r="B8" s="159" t="s">
        <v>94</v>
      </c>
      <c r="C8" s="98">
        <v>3823.85207557678</v>
      </c>
      <c r="D8" s="103">
        <v>2.99892817402528E-2</v>
      </c>
    </row>
    <row r="9" spans="2:5" ht="17" x14ac:dyDescent="0.2">
      <c r="B9" s="159" t="s">
        <v>95</v>
      </c>
      <c r="C9" s="98">
        <v>15860.7464766502</v>
      </c>
      <c r="D9" s="103">
        <v>0.12439089831351299</v>
      </c>
    </row>
    <row r="10" spans="2:5" ht="34" x14ac:dyDescent="0.2">
      <c r="B10" s="159" t="s">
        <v>96</v>
      </c>
      <c r="C10" s="98">
        <v>48412.370315551801</v>
      </c>
      <c r="D10" s="103">
        <v>0.37968315311662199</v>
      </c>
    </row>
    <row r="11" spans="2:5" ht="17" x14ac:dyDescent="0.2">
      <c r="B11" s="159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59" t="s">
        <v>98</v>
      </c>
      <c r="C12" s="98">
        <v>51466.912614822402</v>
      </c>
      <c r="D12" s="103">
        <v>0.40363897771177998</v>
      </c>
    </row>
    <row r="13" spans="2:5" ht="17" x14ac:dyDescent="0.2">
      <c r="B13" s="159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24"/>
  <sheetViews>
    <sheetView zoomScale="70" zoomScaleNormal="70" workbookViewId="0">
      <selection activeCell="A27" sqref="A27:XFD1048576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53">
        <v>0.52942466844196701</v>
      </c>
      <c r="D9" s="153">
        <v>0.25530840178376801</v>
      </c>
      <c r="E9" s="153">
        <v>0.21526692977426501</v>
      </c>
    </row>
    <row r="10" spans="2:5" x14ac:dyDescent="0.2">
      <c r="B10" s="92">
        <v>2009</v>
      </c>
      <c r="C10" s="153">
        <v>0.53455103881893395</v>
      </c>
      <c r="D10" s="153">
        <v>0.234982210029616</v>
      </c>
      <c r="E10" s="153">
        <v>0.23046675115144899</v>
      </c>
    </row>
    <row r="11" spans="2:5" x14ac:dyDescent="0.2">
      <c r="B11" s="92">
        <v>2010</v>
      </c>
      <c r="C11" s="153">
        <v>0.50699279440617795</v>
      </c>
      <c r="D11" s="153">
        <v>0.23929539738421801</v>
      </c>
      <c r="E11" s="153">
        <v>0.25371180820960398</v>
      </c>
    </row>
    <row r="12" spans="2:5" x14ac:dyDescent="0.2">
      <c r="B12" s="92">
        <v>2011</v>
      </c>
      <c r="C12" s="153">
        <v>0.49234645304137797</v>
      </c>
      <c r="D12" s="153">
        <v>0.247151909185582</v>
      </c>
      <c r="E12" s="153">
        <v>0.26050163777303997</v>
      </c>
    </row>
    <row r="13" spans="2:5" x14ac:dyDescent="0.2">
      <c r="B13" s="92">
        <v>2012</v>
      </c>
      <c r="C13" s="153">
        <v>0.506981772213288</v>
      </c>
      <c r="D13" s="153">
        <v>0.25158256792591399</v>
      </c>
      <c r="E13" s="153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D64" sqref="D64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62" t="s">
        <v>116</v>
      </c>
      <c r="C7" s="162" t="s">
        <v>117</v>
      </c>
      <c r="D7" s="162" t="s">
        <v>111</v>
      </c>
      <c r="E7" s="162" t="s">
        <v>118</v>
      </c>
      <c r="F7" s="162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61">
        <v>454745.73397266801</v>
      </c>
      <c r="F8" s="160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61">
        <v>462662.80232207698</v>
      </c>
      <c r="F9" s="160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61">
        <v>449871.58962979598</v>
      </c>
      <c r="F10" s="160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61">
        <v>446977.38465294399</v>
      </c>
      <c r="F11" s="160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61">
        <v>428648.374995502</v>
      </c>
      <c r="F12" s="160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61">
        <v>447408.979547825</v>
      </c>
      <c r="F13" s="160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61">
        <v>436967.15379841201</v>
      </c>
      <c r="F14" s="160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61">
        <v>433457.598885593</v>
      </c>
      <c r="F15" s="160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61">
        <v>395272.27437643602</v>
      </c>
      <c r="F16" s="160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61">
        <v>513000.39567927702</v>
      </c>
      <c r="F17" s="160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61">
        <v>557280.251698212</v>
      </c>
      <c r="F18" s="160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61">
        <v>473117.20977893798</v>
      </c>
      <c r="F19" s="160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61">
        <v>426310.93348012498</v>
      </c>
      <c r="F20" s="160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61">
        <v>508247.757032272</v>
      </c>
      <c r="F21" s="160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61">
        <v>451139.65921133</v>
      </c>
      <c r="F22" s="160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61">
        <v>420132.08169038501</v>
      </c>
      <c r="F23" s="160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60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60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60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60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60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60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60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60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60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60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60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60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60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60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60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60">
        <v>0.26748594828143002</v>
      </c>
    </row>
    <row r="56" spans="2:6" x14ac:dyDescent="0.2">
      <c r="E56" s="157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L22"/>
  <sheetViews>
    <sheetView zoomScale="78" zoomScaleNormal="85" workbookViewId="0">
      <selection activeCell="K30" sqref="K30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9" style="52" bestFit="1" customWidth="1"/>
    <col min="14" max="16" width="15.28515625" style="52" bestFit="1" customWidth="1"/>
    <col min="17" max="17" width="10.7109375" style="52" bestFit="1" customWidth="1"/>
    <col min="18" max="16384" width="8.85546875" style="52"/>
  </cols>
  <sheetData>
    <row r="2" spans="2:12" x14ac:dyDescent="0.2">
      <c r="B2" s="52" t="s">
        <v>1</v>
      </c>
      <c r="C2" s="52" t="s">
        <v>123</v>
      </c>
    </row>
    <row r="3" spans="2:12" x14ac:dyDescent="0.2">
      <c r="B3" s="52" t="s">
        <v>85</v>
      </c>
      <c r="C3" s="53">
        <v>46327</v>
      </c>
    </row>
    <row r="4" spans="2:12" x14ac:dyDescent="0.2">
      <c r="B4" s="52" t="s">
        <v>87</v>
      </c>
      <c r="C4" s="54" t="s">
        <v>101</v>
      </c>
    </row>
    <row r="5" spans="2:12" x14ac:dyDescent="0.2">
      <c r="B5" s="52" t="s">
        <v>89</v>
      </c>
      <c r="C5" s="52" t="s">
        <v>124</v>
      </c>
    </row>
    <row r="7" spans="2:12" x14ac:dyDescent="0.2">
      <c r="H7" s="151" t="s">
        <v>125</v>
      </c>
      <c r="I7" s="151"/>
      <c r="J7" s="151"/>
      <c r="K7" s="151"/>
      <c r="L7" s="151"/>
    </row>
    <row r="8" spans="2:12" x14ac:dyDescent="0.2">
      <c r="B8" s="94" t="s">
        <v>111</v>
      </c>
      <c r="C8" s="95" t="s">
        <v>126</v>
      </c>
      <c r="D8" s="102" t="s">
        <v>127</v>
      </c>
      <c r="E8" s="154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54" t="s">
        <v>129</v>
      </c>
      <c r="L8" s="95" t="s">
        <v>131</v>
      </c>
    </row>
    <row r="9" spans="2:12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55"/>
      <c r="J9" s="156"/>
      <c r="K9" s="156"/>
      <c r="L9" s="156"/>
    </row>
    <row r="10" spans="2:12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55"/>
      <c r="J10" s="156"/>
      <c r="K10" s="156"/>
      <c r="L10" s="156"/>
    </row>
    <row r="11" spans="2:12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</row>
    <row r="12" spans="2:12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</row>
    <row r="13" spans="2:12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</row>
    <row r="14" spans="2:12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</row>
    <row r="15" spans="2:12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</row>
    <row r="16" spans="2:12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</row>
    <row r="17" spans="2:12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</row>
    <row r="18" spans="2:12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</row>
    <row r="19" spans="2:12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</row>
    <row r="20" spans="2:12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</row>
    <row r="21" spans="2:12" x14ac:dyDescent="0.2">
      <c r="B21" s="90"/>
      <c r="C21" s="78"/>
      <c r="D21" s="78"/>
      <c r="E21" s="152"/>
      <c r="F21" s="89"/>
    </row>
    <row r="22" spans="2:12" x14ac:dyDescent="0.2">
      <c r="B22" s="90"/>
      <c r="C22" s="78"/>
      <c r="D22" s="78"/>
      <c r="E22" s="91"/>
      <c r="F22" s="89"/>
    </row>
  </sheetData>
  <hyperlinks>
    <hyperlink ref="C4" r:id="rId1" display="Citizen advice" xr:uid="{CACF6AFC-28FB-4E7F-8173-98733DCAE12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133</v>
      </c>
    </row>
    <row r="3" spans="2:7" x14ac:dyDescent="0.2">
      <c r="B3" s="83" t="s">
        <v>85</v>
      </c>
      <c r="C3" s="87" t="s">
        <v>134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135</v>
      </c>
    </row>
    <row r="7" spans="2:7" x14ac:dyDescent="0.2">
      <c r="B7" s="130" t="s">
        <v>111</v>
      </c>
      <c r="C7" s="85" t="s">
        <v>136</v>
      </c>
      <c r="D7" s="131" t="s">
        <v>117</v>
      </c>
      <c r="E7" s="131" t="s">
        <v>137</v>
      </c>
      <c r="F7" s="131" t="s">
        <v>138</v>
      </c>
      <c r="G7" s="131" t="s">
        <v>106</v>
      </c>
    </row>
    <row r="8" spans="2:7" customFormat="1" hidden="1" x14ac:dyDescent="0.2">
      <c r="B8" s="100">
        <v>2017</v>
      </c>
      <c r="C8" s="108" t="s">
        <v>139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139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139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139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139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139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139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139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139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140</v>
      </c>
    </row>
    <row r="3" spans="2:5" x14ac:dyDescent="0.2">
      <c r="B3" s="52" t="s">
        <v>85</v>
      </c>
      <c r="C3" s="53" t="s">
        <v>134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141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142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143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144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145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146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147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148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149</v>
      </c>
    </row>
    <row r="3" spans="2:7" s="52" customFormat="1" x14ac:dyDescent="0.2">
      <c r="B3" s="52" t="s">
        <v>85</v>
      </c>
      <c r="C3" s="53" t="s">
        <v>150</v>
      </c>
    </row>
    <row r="4" spans="2:7" s="52" customFormat="1" x14ac:dyDescent="0.2">
      <c r="B4" s="52" t="s">
        <v>87</v>
      </c>
      <c r="C4" s="54" t="s">
        <v>151</v>
      </c>
    </row>
    <row r="5" spans="2:7" s="52" customFormat="1" x14ac:dyDescent="0.2">
      <c r="B5" s="52" t="s">
        <v>89</v>
      </c>
    </row>
    <row r="7" spans="2:7" ht="17" x14ac:dyDescent="0.2">
      <c r="B7" s="113" t="s">
        <v>152</v>
      </c>
      <c r="C7" s="113">
        <v>2019</v>
      </c>
      <c r="D7" s="113" t="s">
        <v>153</v>
      </c>
      <c r="E7" s="113">
        <v>2021</v>
      </c>
      <c r="F7" s="113" t="s">
        <v>154</v>
      </c>
      <c r="G7" s="113">
        <v>2023</v>
      </c>
    </row>
    <row r="8" spans="2:7" ht="17" x14ac:dyDescent="0.2">
      <c r="B8" s="111" t="s">
        <v>155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156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157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158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159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160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161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162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163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164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165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166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167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168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169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170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171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172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173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174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175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176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177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178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179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180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181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182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183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184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185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132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186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187</v>
      </c>
    </row>
    <row r="7" spans="2:4" x14ac:dyDescent="0.2">
      <c r="B7" s="85" t="s">
        <v>188</v>
      </c>
      <c r="C7" s="85" t="s">
        <v>118</v>
      </c>
      <c r="D7" s="85" t="s">
        <v>93</v>
      </c>
    </row>
    <row r="8" spans="2:4" ht="34" x14ac:dyDescent="0.2">
      <c r="B8" s="114" t="s">
        <v>189</v>
      </c>
      <c r="C8" s="84">
        <v>1618</v>
      </c>
      <c r="D8" s="88">
        <v>0.90391061452513999</v>
      </c>
    </row>
    <row r="9" spans="2:4" ht="17" x14ac:dyDescent="0.2">
      <c r="B9" s="114" t="s">
        <v>190</v>
      </c>
      <c r="C9" s="84">
        <v>133</v>
      </c>
      <c r="D9" s="88">
        <v>7.4301675977653595E-2</v>
      </c>
    </row>
    <row r="10" spans="2:4" ht="68" x14ac:dyDescent="0.2">
      <c r="B10" s="114" t="s">
        <v>191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192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193</v>
      </c>
      <c r="C7" s="140" t="s">
        <v>118</v>
      </c>
      <c r="D7" s="140" t="s">
        <v>93</v>
      </c>
    </row>
    <row r="8" spans="2:4" x14ac:dyDescent="0.2">
      <c r="B8" s="139" t="s">
        <v>194</v>
      </c>
      <c r="C8" s="139">
        <v>760</v>
      </c>
      <c r="D8" s="141">
        <v>0.42458100558659201</v>
      </c>
    </row>
    <row r="9" spans="2:4" x14ac:dyDescent="0.2">
      <c r="B9" s="139" t="s">
        <v>195</v>
      </c>
      <c r="C9" s="139">
        <v>582</v>
      </c>
      <c r="D9" s="141">
        <v>0.32513966480446899</v>
      </c>
    </row>
    <row r="10" spans="2:4" x14ac:dyDescent="0.2">
      <c r="B10" s="139" t="s">
        <v>196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4" zoomScale="71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197</v>
      </c>
    </row>
    <row r="3" spans="2:15" x14ac:dyDescent="0.2">
      <c r="B3" s="83" t="s">
        <v>85</v>
      </c>
      <c r="C3" s="83" t="s">
        <v>198</v>
      </c>
    </row>
    <row r="4" spans="2:15" x14ac:dyDescent="0.2">
      <c r="B4" s="83" t="s">
        <v>87</v>
      </c>
      <c r="C4" s="82" t="s">
        <v>199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200</v>
      </c>
      <c r="C7" s="85" t="s">
        <v>201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202</v>
      </c>
      <c r="C8" s="84" t="s">
        <v>203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202</v>
      </c>
      <c r="C9" s="84" t="s">
        <v>204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202</v>
      </c>
      <c r="C10" s="84" t="s">
        <v>205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202</v>
      </c>
      <c r="C11" s="84" t="s">
        <v>206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202</v>
      </c>
      <c r="C12" s="84" t="s">
        <v>207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202</v>
      </c>
      <c r="C13" s="84" t="s">
        <v>208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202</v>
      </c>
      <c r="C14" s="84" t="s">
        <v>209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202</v>
      </c>
      <c r="C15" s="84" t="s">
        <v>210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202</v>
      </c>
      <c r="C16" s="84" t="s">
        <v>211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202</v>
      </c>
      <c r="C17" s="84" t="s">
        <v>212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202</v>
      </c>
      <c r="C18" s="84" t="s">
        <v>213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214</v>
      </c>
      <c r="C19" s="84" t="s">
        <v>215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214</v>
      </c>
      <c r="C20" s="84" t="s">
        <v>216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214</v>
      </c>
      <c r="C21" s="84" t="s">
        <v>217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214</v>
      </c>
      <c r="C22" s="84" t="s">
        <v>218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214</v>
      </c>
      <c r="C23" s="84" t="s">
        <v>219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214</v>
      </c>
      <c r="C24" s="84" t="s">
        <v>220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214</v>
      </c>
      <c r="C25" s="84" t="s">
        <v>221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214</v>
      </c>
      <c r="C26" s="84" t="s">
        <v>222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214</v>
      </c>
      <c r="C27" s="84" t="s">
        <v>223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214</v>
      </c>
      <c r="C28" s="84" t="s">
        <v>224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214</v>
      </c>
      <c r="C29" s="84" t="s">
        <v>225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214</v>
      </c>
      <c r="C30" s="84" t="s">
        <v>211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214</v>
      </c>
      <c r="C31" s="84" t="s">
        <v>226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214</v>
      </c>
      <c r="C32" s="84" t="s">
        <v>227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214</v>
      </c>
      <c r="C33" s="84" t="s">
        <v>228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214</v>
      </c>
      <c r="C34" s="84" t="s">
        <v>229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214</v>
      </c>
      <c r="C35" s="84" t="s">
        <v>230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214</v>
      </c>
      <c r="C36" s="84" t="s">
        <v>231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214</v>
      </c>
      <c r="C37" s="84" t="s">
        <v>232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214</v>
      </c>
      <c r="C38" s="84" t="s">
        <v>233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214</v>
      </c>
      <c r="C39" s="84" t="s">
        <v>234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214</v>
      </c>
      <c r="C40" s="84" t="s">
        <v>235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214</v>
      </c>
      <c r="C41" s="84" t="s">
        <v>236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214</v>
      </c>
      <c r="C42" s="84" t="s">
        <v>237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214</v>
      </c>
      <c r="C43" s="84" t="s">
        <v>238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239</v>
      </c>
      <c r="C44" s="84" t="s">
        <v>215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239</v>
      </c>
      <c r="C45" s="84" t="s">
        <v>216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239</v>
      </c>
      <c r="C46" s="84" t="s">
        <v>217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239</v>
      </c>
      <c r="C47" s="84" t="s">
        <v>218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239</v>
      </c>
      <c r="C48" s="84" t="s">
        <v>219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239</v>
      </c>
      <c r="C49" s="84" t="s">
        <v>220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239</v>
      </c>
      <c r="C50" s="84" t="s">
        <v>221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239</v>
      </c>
      <c r="C51" s="84" t="s">
        <v>222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239</v>
      </c>
      <c r="C52" s="84" t="s">
        <v>223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239</v>
      </c>
      <c r="C53" s="84" t="s">
        <v>224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239</v>
      </c>
      <c r="C54" s="84" t="s">
        <v>225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239</v>
      </c>
      <c r="C55" s="84" t="s">
        <v>211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239</v>
      </c>
      <c r="C56" s="84" t="s">
        <v>228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239</v>
      </c>
      <c r="C57" s="84" t="s">
        <v>240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239</v>
      </c>
      <c r="C58" s="84" t="s">
        <v>231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239</v>
      </c>
      <c r="C59" s="84" t="s">
        <v>232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239</v>
      </c>
      <c r="C60" s="84" t="s">
        <v>233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239</v>
      </c>
      <c r="C61" s="84" t="s">
        <v>235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239</v>
      </c>
      <c r="C62" s="84" t="s">
        <v>238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241</v>
      </c>
      <c r="C63" s="84" t="s">
        <v>242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241</v>
      </c>
      <c r="C64" s="84" t="s">
        <v>243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241</v>
      </c>
      <c r="C65" s="84" t="s">
        <v>244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241</v>
      </c>
      <c r="C66" s="84" t="s">
        <v>245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241</v>
      </c>
      <c r="C67" s="84" t="s">
        <v>246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241</v>
      </c>
      <c r="C68" s="84" t="s">
        <v>247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241</v>
      </c>
      <c r="C69" s="84" t="s">
        <v>248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241</v>
      </c>
      <c r="C70" s="84" t="s">
        <v>249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241</v>
      </c>
      <c r="C71" s="84" t="s">
        <v>250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241</v>
      </c>
      <c r="C72" s="84" t="s">
        <v>251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241</v>
      </c>
      <c r="C73" s="84" t="s">
        <v>252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241</v>
      </c>
      <c r="C74" s="84" t="s">
        <v>253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241</v>
      </c>
      <c r="C75" s="84" t="s">
        <v>254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241</v>
      </c>
      <c r="C76" s="84" t="s">
        <v>255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241</v>
      </c>
      <c r="C77" s="84" t="s">
        <v>211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241</v>
      </c>
      <c r="C78" s="84" t="s">
        <v>256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241</v>
      </c>
      <c r="C79" s="84" t="s">
        <v>257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241</v>
      </c>
      <c r="C80" s="84" t="s">
        <v>238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258</v>
      </c>
      <c r="C81" s="84" t="s">
        <v>259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258</v>
      </c>
      <c r="C82" s="84" t="s">
        <v>260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258</v>
      </c>
      <c r="C83" s="84" t="s">
        <v>261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258</v>
      </c>
      <c r="C84" s="84" t="s">
        <v>262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258</v>
      </c>
      <c r="C85" s="84" t="s">
        <v>263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258</v>
      </c>
      <c r="C86" s="84" t="s">
        <v>264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258</v>
      </c>
      <c r="C87" s="84" t="s">
        <v>265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258</v>
      </c>
      <c r="C88" s="84" t="s">
        <v>266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258</v>
      </c>
      <c r="C89" s="84" t="s">
        <v>267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258</v>
      </c>
      <c r="C90" s="84" t="s">
        <v>268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258</v>
      </c>
      <c r="C91" s="84" t="s">
        <v>269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258</v>
      </c>
      <c r="C92" s="84" t="s">
        <v>270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258</v>
      </c>
      <c r="C93" s="84" t="s">
        <v>211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258</v>
      </c>
      <c r="C94" s="84" t="s">
        <v>271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258</v>
      </c>
      <c r="C95" s="84" t="s">
        <v>238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272</v>
      </c>
      <c r="C96" s="84" t="s">
        <v>273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272</v>
      </c>
      <c r="C97" s="84" t="s">
        <v>274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272</v>
      </c>
      <c r="C98" s="84" t="s">
        <v>275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272</v>
      </c>
      <c r="C99" s="84" t="s">
        <v>276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272</v>
      </c>
      <c r="C100" s="84" t="s">
        <v>277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272</v>
      </c>
      <c r="C101" s="84" t="s">
        <v>278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272</v>
      </c>
      <c r="C102" s="84" t="s">
        <v>279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272</v>
      </c>
      <c r="C103" s="84" t="s">
        <v>280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272</v>
      </c>
      <c r="C104" s="84" t="s">
        <v>280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272</v>
      </c>
      <c r="C105" s="84" t="s">
        <v>281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272</v>
      </c>
      <c r="C106" s="84" t="s">
        <v>282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272</v>
      </c>
      <c r="C107" s="84" t="s">
        <v>244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272</v>
      </c>
      <c r="C108" s="84" t="s">
        <v>283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272</v>
      </c>
      <c r="C109" s="84" t="s">
        <v>284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272</v>
      </c>
      <c r="C110" s="84" t="s">
        <v>285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272</v>
      </c>
      <c r="C111" s="84" t="s">
        <v>286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272</v>
      </c>
      <c r="C112" s="84" t="s">
        <v>287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272</v>
      </c>
      <c r="C113" s="84" t="s">
        <v>288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272</v>
      </c>
      <c r="C114" s="84" t="s">
        <v>289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272</v>
      </c>
      <c r="C115" s="84" t="s">
        <v>248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272</v>
      </c>
      <c r="C116" s="84" t="s">
        <v>290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272</v>
      </c>
      <c r="C117" s="84" t="s">
        <v>291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272</v>
      </c>
      <c r="C118" s="84" t="s">
        <v>292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272</v>
      </c>
      <c r="C119" s="84" t="s">
        <v>270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272</v>
      </c>
      <c r="C120" s="84" t="s">
        <v>293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272</v>
      </c>
      <c r="C121" s="84" t="s">
        <v>294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272</v>
      </c>
      <c r="C122" s="84" t="s">
        <v>211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272</v>
      </c>
      <c r="C123" s="84" t="s">
        <v>295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272</v>
      </c>
      <c r="C124" s="84" t="s">
        <v>296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272</v>
      </c>
      <c r="C125" s="84" t="s">
        <v>297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272</v>
      </c>
      <c r="C126" s="84" t="s">
        <v>298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272</v>
      </c>
      <c r="C127" s="84" t="s">
        <v>299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272</v>
      </c>
      <c r="C128" s="84" t="s">
        <v>300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272</v>
      </c>
      <c r="C129" s="84" t="s">
        <v>301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272</v>
      </c>
      <c r="C130" s="84" t="s">
        <v>302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272</v>
      </c>
      <c r="C131" s="84" t="s">
        <v>303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272</v>
      </c>
      <c r="C132" s="84" t="s">
        <v>238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304</v>
      </c>
      <c r="C133" s="84" t="s">
        <v>274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304</v>
      </c>
      <c r="C134" s="84" t="s">
        <v>275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304</v>
      </c>
      <c r="C135" s="84" t="s">
        <v>276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304</v>
      </c>
      <c r="C136" s="84" t="s">
        <v>277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304</v>
      </c>
      <c r="C137" s="84" t="s">
        <v>278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304</v>
      </c>
      <c r="C138" s="84" t="s">
        <v>305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304</v>
      </c>
      <c r="C139" s="84" t="s">
        <v>280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304</v>
      </c>
      <c r="C140" s="84" t="s">
        <v>248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304</v>
      </c>
      <c r="C141" s="84" t="s">
        <v>281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304</v>
      </c>
      <c r="C142" s="84" t="s">
        <v>282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304</v>
      </c>
      <c r="C143" s="84" t="s">
        <v>244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304</v>
      </c>
      <c r="C144" s="84" t="s">
        <v>283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304</v>
      </c>
      <c r="C145" s="84" t="s">
        <v>284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304</v>
      </c>
      <c r="C146" s="84" t="s">
        <v>285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304</v>
      </c>
      <c r="C147" s="84" t="s">
        <v>306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304</v>
      </c>
      <c r="C148" s="84" t="s">
        <v>307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304</v>
      </c>
      <c r="C149" s="84" t="s">
        <v>286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304</v>
      </c>
      <c r="C150" s="84" t="s">
        <v>288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304</v>
      </c>
      <c r="C151" s="84" t="s">
        <v>289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304</v>
      </c>
      <c r="C152" s="84" t="s">
        <v>267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304</v>
      </c>
      <c r="C153" s="84" t="s">
        <v>290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304</v>
      </c>
      <c r="C154" s="84" t="s">
        <v>292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304</v>
      </c>
      <c r="C155" s="84" t="s">
        <v>270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304</v>
      </c>
      <c r="C156" s="84" t="s">
        <v>293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304</v>
      </c>
      <c r="C157" s="84" t="s">
        <v>294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304</v>
      </c>
      <c r="C158" s="84" t="s">
        <v>211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304</v>
      </c>
      <c r="C159" s="84" t="s">
        <v>295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304</v>
      </c>
      <c r="C160" s="84" t="s">
        <v>296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304</v>
      </c>
      <c r="C161" s="84" t="s">
        <v>297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304</v>
      </c>
      <c r="C162" s="84" t="s">
        <v>298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304</v>
      </c>
      <c r="C163" s="84" t="s">
        <v>299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304</v>
      </c>
      <c r="C164" s="84" t="s">
        <v>300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304</v>
      </c>
      <c r="C165" s="84" t="s">
        <v>301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304</v>
      </c>
      <c r="C166" s="84" t="s">
        <v>308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304</v>
      </c>
      <c r="C167" s="84" t="s">
        <v>303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304</v>
      </c>
      <c r="C168" s="84" t="s">
        <v>238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309</v>
      </c>
      <c r="C169" s="84" t="s">
        <v>310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309</v>
      </c>
      <c r="C170" s="84" t="s">
        <v>274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309</v>
      </c>
      <c r="C171" s="84" t="s">
        <v>275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309</v>
      </c>
      <c r="C172" s="150" t="s">
        <v>276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309</v>
      </c>
      <c r="C173" s="84" t="s">
        <v>277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309</v>
      </c>
      <c r="C174" s="150" t="s">
        <v>305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309</v>
      </c>
      <c r="C175" s="84" t="s">
        <v>280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309</v>
      </c>
      <c r="C176" s="84" t="s">
        <v>281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309</v>
      </c>
      <c r="C177" s="84" t="s">
        <v>244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309</v>
      </c>
      <c r="C178" s="84" t="s">
        <v>283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309</v>
      </c>
      <c r="C179" s="84" t="s">
        <v>284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309</v>
      </c>
      <c r="C180" s="84" t="s">
        <v>285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309</v>
      </c>
      <c r="C181" s="84" t="s">
        <v>306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309</v>
      </c>
      <c r="C182" s="84" t="s">
        <v>307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309</v>
      </c>
      <c r="C183" s="84" t="s">
        <v>311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309</v>
      </c>
      <c r="C184" s="84" t="s">
        <v>312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309</v>
      </c>
      <c r="C185" s="84" t="s">
        <v>288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309</v>
      </c>
      <c r="C186" s="84" t="s">
        <v>313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309</v>
      </c>
      <c r="C187" s="84" t="s">
        <v>314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309</v>
      </c>
      <c r="C188" s="150" t="s">
        <v>315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309</v>
      </c>
      <c r="C189" s="84" t="s">
        <v>316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309</v>
      </c>
      <c r="C190" s="84" t="s">
        <v>290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309</v>
      </c>
      <c r="C191" s="84" t="s">
        <v>317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309</v>
      </c>
      <c r="C192" s="84" t="s">
        <v>318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309</v>
      </c>
      <c r="C193" s="84" t="s">
        <v>319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309</v>
      </c>
      <c r="C194" s="84" t="s">
        <v>320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309</v>
      </c>
      <c r="C195" s="84" t="s">
        <v>321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309</v>
      </c>
      <c r="C196" s="84" t="s">
        <v>292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309</v>
      </c>
      <c r="C197" s="84" t="s">
        <v>322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309</v>
      </c>
      <c r="C198" s="150" t="s">
        <v>323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309</v>
      </c>
      <c r="C199" s="84" t="s">
        <v>324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309</v>
      </c>
      <c r="C200" s="84" t="s">
        <v>270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309</v>
      </c>
      <c r="C201" s="84" t="s">
        <v>325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309</v>
      </c>
      <c r="C202" s="84" t="s">
        <v>293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309</v>
      </c>
      <c r="C203" s="150" t="s">
        <v>294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309</v>
      </c>
      <c r="C204" s="84" t="s">
        <v>211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309</v>
      </c>
      <c r="C205" s="84" t="s">
        <v>326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309</v>
      </c>
      <c r="C206" s="84" t="s">
        <v>327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309</v>
      </c>
      <c r="C207" s="84" t="s">
        <v>328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309</v>
      </c>
      <c r="C208" s="84" t="s">
        <v>296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309</v>
      </c>
      <c r="C209" s="84" t="s">
        <v>297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309</v>
      </c>
      <c r="C210" s="84" t="s">
        <v>329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309</v>
      </c>
      <c r="C211" s="84" t="s">
        <v>298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309</v>
      </c>
      <c r="C212" s="84" t="s">
        <v>330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309</v>
      </c>
      <c r="C213" s="84" t="s">
        <v>331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309</v>
      </c>
      <c r="C214" s="84" t="s">
        <v>332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309</v>
      </c>
      <c r="C215" s="84" t="s">
        <v>300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309</v>
      </c>
      <c r="C216" s="84" t="s">
        <v>301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309</v>
      </c>
      <c r="C217" s="84" t="s">
        <v>333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309</v>
      </c>
      <c r="C218" s="84" t="s">
        <v>334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309</v>
      </c>
      <c r="C219" s="84" t="s">
        <v>335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309</v>
      </c>
      <c r="C220" s="84" t="s">
        <v>336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309</v>
      </c>
      <c r="C221" s="84" t="s">
        <v>337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309</v>
      </c>
      <c r="C222" s="84" t="s">
        <v>238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338</v>
      </c>
      <c r="C223" s="84" t="s">
        <v>339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338</v>
      </c>
      <c r="C224" s="84" t="s">
        <v>244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338</v>
      </c>
      <c r="C225" s="84" t="s">
        <v>340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338</v>
      </c>
      <c r="C226" s="84" t="s">
        <v>341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338</v>
      </c>
      <c r="C227" s="84" t="s">
        <v>342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338</v>
      </c>
      <c r="C228" s="84" t="s">
        <v>290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338</v>
      </c>
      <c r="C229" s="84" t="s">
        <v>324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338</v>
      </c>
      <c r="C230" s="84" t="s">
        <v>292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338</v>
      </c>
      <c r="C231" s="84" t="s">
        <v>343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338</v>
      </c>
      <c r="C232" s="84" t="s">
        <v>211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338</v>
      </c>
      <c r="C233" s="84" t="s">
        <v>344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338</v>
      </c>
      <c r="C234" s="84" t="s">
        <v>296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338</v>
      </c>
      <c r="C235" s="84" t="s">
        <v>297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338</v>
      </c>
      <c r="C236" s="84" t="s">
        <v>298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338</v>
      </c>
      <c r="C237" s="84" t="s">
        <v>345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338</v>
      </c>
      <c r="C238" s="84" t="s">
        <v>346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338</v>
      </c>
      <c r="C239" s="84" t="s">
        <v>347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338</v>
      </c>
      <c r="C240" s="84" t="s">
        <v>348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338</v>
      </c>
      <c r="C241" s="84" t="s">
        <v>238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349</v>
      </c>
      <c r="C242" s="84" t="s">
        <v>350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349</v>
      </c>
      <c r="C243" s="84" t="s">
        <v>225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349</v>
      </c>
      <c r="C244" s="84" t="s">
        <v>351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349</v>
      </c>
      <c r="C245" s="84" t="s">
        <v>352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349</v>
      </c>
      <c r="C246" s="84" t="s">
        <v>353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349</v>
      </c>
      <c r="C247" s="84" t="s">
        <v>211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349</v>
      </c>
      <c r="C248" s="84" t="s">
        <v>238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354</v>
      </c>
      <c r="C249" s="84" t="s">
        <v>355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354</v>
      </c>
      <c r="C250" s="84" t="s">
        <v>356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354</v>
      </c>
      <c r="C251" s="84" t="s">
        <v>357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354</v>
      </c>
      <c r="C252" s="84" t="s">
        <v>211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358</v>
      </c>
      <c r="C253" s="84" t="s">
        <v>359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358</v>
      </c>
      <c r="C254" s="84" t="s">
        <v>360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358</v>
      </c>
      <c r="C255" s="84" t="s">
        <v>361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358</v>
      </c>
      <c r="C256" s="84" t="s">
        <v>362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358</v>
      </c>
      <c r="C257" s="84" t="s">
        <v>363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358</v>
      </c>
      <c r="C258" s="84" t="s">
        <v>364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358</v>
      </c>
      <c r="C259" s="84" t="s">
        <v>365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358</v>
      </c>
      <c r="C260" s="84" t="s">
        <v>366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358</v>
      </c>
      <c r="C261" s="84" t="s">
        <v>367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358</v>
      </c>
      <c r="C262" s="84" t="s">
        <v>368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358</v>
      </c>
      <c r="C263" s="84" t="s">
        <v>369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358</v>
      </c>
      <c r="C264" s="84" t="s">
        <v>270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358</v>
      </c>
      <c r="C265" s="84" t="s">
        <v>370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358</v>
      </c>
      <c r="C266" s="84" t="s">
        <v>371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358</v>
      </c>
      <c r="C267" s="84" t="s">
        <v>211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358</v>
      </c>
      <c r="C268" s="84" t="s">
        <v>372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358</v>
      </c>
      <c r="C269" s="84" t="s">
        <v>373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358</v>
      </c>
      <c r="C270" s="84" t="s">
        <v>374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358</v>
      </c>
      <c r="C271" s="84" t="s">
        <v>375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358</v>
      </c>
      <c r="C272" s="84" t="s">
        <v>238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topLeftCell="L6" zoomScale="96" zoomScaleNormal="96" workbookViewId="0">
      <selection activeCell="AJ8" sqref="AJ8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6" x14ac:dyDescent="0.2">
      <c r="B2" s="52" t="s">
        <v>1</v>
      </c>
      <c r="C2" s="52" t="s">
        <v>376</v>
      </c>
    </row>
    <row r="3" spans="2:36" x14ac:dyDescent="0.2">
      <c r="B3" s="52" t="s">
        <v>85</v>
      </c>
    </row>
    <row r="4" spans="2:36" x14ac:dyDescent="0.2">
      <c r="B4" s="52" t="s">
        <v>87</v>
      </c>
      <c r="C4" s="54" t="s">
        <v>377</v>
      </c>
    </row>
    <row r="5" spans="2:36" x14ac:dyDescent="0.2">
      <c r="B5" s="52" t="s">
        <v>89</v>
      </c>
      <c r="C5" s="52" t="s">
        <v>378</v>
      </c>
    </row>
    <row r="7" spans="2:36" x14ac:dyDescent="0.2">
      <c r="B7" s="52" t="s">
        <v>379</v>
      </c>
      <c r="C7" s="52" t="s">
        <v>380</v>
      </c>
      <c r="D7" s="52" t="s">
        <v>156</v>
      </c>
      <c r="E7" s="52" t="s">
        <v>157</v>
      </c>
      <c r="F7" s="52" t="s">
        <v>158</v>
      </c>
      <c r="G7" s="52" t="s">
        <v>159</v>
      </c>
      <c r="H7" s="52" t="s">
        <v>381</v>
      </c>
      <c r="I7" s="52" t="s">
        <v>161</v>
      </c>
      <c r="J7" s="52" t="s">
        <v>162</v>
      </c>
      <c r="K7" s="52" t="s">
        <v>163</v>
      </c>
      <c r="L7" s="52" t="s">
        <v>382</v>
      </c>
      <c r="M7" s="52" t="s">
        <v>165</v>
      </c>
      <c r="N7" s="52" t="s">
        <v>383</v>
      </c>
      <c r="O7" s="52" t="s">
        <v>167</v>
      </c>
      <c r="P7" s="52" t="s">
        <v>168</v>
      </c>
      <c r="Q7" s="52" t="s">
        <v>169</v>
      </c>
      <c r="R7" s="52" t="s">
        <v>170</v>
      </c>
      <c r="S7" s="52" t="s">
        <v>171</v>
      </c>
      <c r="T7" s="52" t="s">
        <v>172</v>
      </c>
      <c r="U7" s="52" t="s">
        <v>384</v>
      </c>
      <c r="V7" s="52" t="s">
        <v>385</v>
      </c>
      <c r="W7" s="52" t="s">
        <v>175</v>
      </c>
      <c r="X7" s="52" t="s">
        <v>176</v>
      </c>
      <c r="Y7" s="52" t="s">
        <v>139</v>
      </c>
      <c r="Z7" s="52" t="s">
        <v>177</v>
      </c>
      <c r="AA7" s="52" t="s">
        <v>178</v>
      </c>
      <c r="AB7" s="52" t="s">
        <v>179</v>
      </c>
      <c r="AC7" s="52" t="s">
        <v>386</v>
      </c>
      <c r="AD7" s="52" t="s">
        <v>180</v>
      </c>
      <c r="AE7" s="52" t="s">
        <v>181</v>
      </c>
      <c r="AF7" s="52" t="s">
        <v>182</v>
      </c>
      <c r="AG7" s="52" t="s">
        <v>387</v>
      </c>
      <c r="AH7" s="52" t="s">
        <v>184</v>
      </c>
      <c r="AI7" s="52" t="s">
        <v>185</v>
      </c>
      <c r="AJ7" s="52" t="s">
        <v>558</v>
      </c>
    </row>
    <row r="8" spans="2:36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view="pageBreakPreview" zoomScale="60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388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389</v>
      </c>
    </row>
    <row r="5" spans="2:6" x14ac:dyDescent="0.2">
      <c r="B5" s="1" t="s">
        <v>89</v>
      </c>
    </row>
    <row r="7" spans="2:6" x14ac:dyDescent="0.2">
      <c r="B7" s="6" t="s">
        <v>390</v>
      </c>
      <c r="C7" s="6" t="s">
        <v>139</v>
      </c>
      <c r="D7" s="6" t="s">
        <v>391</v>
      </c>
      <c r="E7" s="6" t="s">
        <v>392</v>
      </c>
      <c r="F7" s="6" t="s">
        <v>393</v>
      </c>
    </row>
    <row r="8" spans="2:6" x14ac:dyDescent="0.2">
      <c r="B8" s="8" t="s">
        <v>394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395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396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397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398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399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400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401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402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403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404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405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406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407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408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409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410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411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412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413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414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415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pageSetup paperSize="9" orientation="portrait" horizontalDpi="0" verticalDpi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416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417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379</v>
      </c>
      <c r="C8" s="12" t="s">
        <v>418</v>
      </c>
      <c r="D8" s="12" t="s">
        <v>419</v>
      </c>
      <c r="E8" s="6" t="s">
        <v>420</v>
      </c>
      <c r="F8" s="6" t="s">
        <v>421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422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423</v>
      </c>
    </row>
    <row r="7" spans="1:6" x14ac:dyDescent="0.2">
      <c r="B7" s="66"/>
      <c r="C7" s="64" t="s">
        <v>424</v>
      </c>
      <c r="D7" s="65"/>
      <c r="E7" s="64" t="s">
        <v>425</v>
      </c>
      <c r="F7" s="65"/>
    </row>
    <row r="8" spans="1:6" x14ac:dyDescent="0.2">
      <c r="B8" s="66"/>
      <c r="C8" s="68" t="s">
        <v>426</v>
      </c>
      <c r="D8" s="69" t="s">
        <v>139</v>
      </c>
      <c r="E8" s="68" t="s">
        <v>426</v>
      </c>
      <c r="F8" s="69" t="s">
        <v>139</v>
      </c>
    </row>
    <row r="9" spans="1:6" x14ac:dyDescent="0.2">
      <c r="A9" s="57"/>
      <c r="B9" s="67" t="s">
        <v>427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428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429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430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431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432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433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434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435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436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437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438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439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440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441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442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443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444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445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446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447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448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449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450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451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452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453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454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455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456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457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458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459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460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461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462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463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464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465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466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467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468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469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470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471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472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473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474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475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476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477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478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479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480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481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482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483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484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485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486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487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488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489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490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491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492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493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494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495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496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497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498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499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500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501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502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503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504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505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506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507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508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509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510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511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512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513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514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394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395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396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397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398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399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400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401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402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403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404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405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406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407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408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409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410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411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412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515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414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415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516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517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518</v>
      </c>
    </row>
    <row r="5" spans="2:6" x14ac:dyDescent="0.2">
      <c r="B5" s="1" t="s">
        <v>89</v>
      </c>
    </row>
    <row r="7" spans="2:6" x14ac:dyDescent="0.2">
      <c r="B7" s="6" t="s">
        <v>379</v>
      </c>
      <c r="C7" s="6" t="s">
        <v>519</v>
      </c>
      <c r="D7" s="6" t="s">
        <v>520</v>
      </c>
      <c r="E7" s="6" t="s">
        <v>521</v>
      </c>
      <c r="F7" s="6" t="s">
        <v>522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552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524</v>
      </c>
      <c r="G7" s="193"/>
      <c r="H7" s="194"/>
      <c r="I7" s="195" t="s">
        <v>525</v>
      </c>
      <c r="J7" s="196"/>
      <c r="K7" s="196"/>
      <c r="L7" s="197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28.5" customHeight="1" x14ac:dyDescent="0.2">
      <c r="B9" s="75">
        <v>45444</v>
      </c>
      <c r="C9" s="78" t="s">
        <v>139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139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139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139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139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556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524</v>
      </c>
      <c r="G7" s="193"/>
      <c r="H7" s="194"/>
      <c r="I7" s="195" t="s">
        <v>525</v>
      </c>
      <c r="J7" s="196"/>
      <c r="K7" s="196"/>
      <c r="L7" s="197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17" customHeight="1" x14ac:dyDescent="0.2">
      <c r="B9" s="75">
        <v>45444</v>
      </c>
      <c r="C9" s="78" t="s">
        <v>139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139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139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139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139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554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553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7"/>
      <c r="D7" s="107"/>
    </row>
    <row r="8" spans="2:5" ht="32" customHeight="1" x14ac:dyDescent="0.2">
      <c r="B8" s="105" t="s">
        <v>379</v>
      </c>
      <c r="C8" s="105" t="s">
        <v>526</v>
      </c>
      <c r="D8" s="105" t="s">
        <v>555</v>
      </c>
      <c r="E8" s="164"/>
    </row>
    <row r="9" spans="2:5" ht="28.5" customHeight="1" x14ac:dyDescent="0.2">
      <c r="B9" s="163">
        <v>45444</v>
      </c>
      <c r="C9" s="156" t="s">
        <v>139</v>
      </c>
      <c r="D9" s="156">
        <v>1100</v>
      </c>
    </row>
    <row r="10" spans="2:5" ht="28.5" customHeight="1" x14ac:dyDescent="0.2">
      <c r="B10" s="163">
        <v>45536</v>
      </c>
      <c r="C10" s="156" t="s">
        <v>139</v>
      </c>
      <c r="D10" s="156">
        <v>1150</v>
      </c>
    </row>
    <row r="11" spans="2:5" ht="28.5" customHeight="1" x14ac:dyDescent="0.2">
      <c r="B11" s="163">
        <v>45627</v>
      </c>
      <c r="C11" s="156" t="s">
        <v>139</v>
      </c>
      <c r="D11" s="156">
        <v>1240</v>
      </c>
    </row>
    <row r="12" spans="2:5" ht="15.5" customHeight="1" x14ac:dyDescent="0.2">
      <c r="B12" s="163">
        <v>45717</v>
      </c>
      <c r="C12" s="156" t="s">
        <v>139</v>
      </c>
      <c r="D12" s="156">
        <v>1070</v>
      </c>
    </row>
    <row r="13" spans="2:5" x14ac:dyDescent="0.2">
      <c r="B13" s="163">
        <v>45809</v>
      </c>
      <c r="C13" s="156" t="s">
        <v>139</v>
      </c>
      <c r="D13" s="156">
        <v>1060</v>
      </c>
    </row>
    <row r="14" spans="2:5" x14ac:dyDescent="0.2">
      <c r="B14" s="163">
        <v>45901</v>
      </c>
      <c r="C14" s="156" t="s">
        <v>139</v>
      </c>
      <c r="D14" s="97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G261"/>
  <sheetViews>
    <sheetView zoomScale="87" zoomScaleNormal="100" workbookViewId="0">
      <selection activeCell="B8" sqref="B8"/>
    </sheetView>
  </sheetViews>
  <sheetFormatPr baseColWidth="10" defaultColWidth="8.7109375" defaultRowHeight="16" x14ac:dyDescent="0.2"/>
  <cols>
    <col min="2" max="2" width="11" customWidth="1"/>
    <col min="3" max="7" width="8.85546875" bestFit="1" customWidth="1"/>
  </cols>
  <sheetData>
    <row r="1" spans="2:7" s="1" customFormat="1" x14ac:dyDescent="0.2"/>
    <row r="2" spans="2:7" s="1" customFormat="1" x14ac:dyDescent="0.2">
      <c r="B2" s="1" t="s">
        <v>1</v>
      </c>
      <c r="C2" s="1" t="s">
        <v>533</v>
      </c>
    </row>
    <row r="3" spans="2:7" s="1" customFormat="1" x14ac:dyDescent="0.2">
      <c r="B3" s="1" t="s">
        <v>85</v>
      </c>
      <c r="C3" s="7" t="s">
        <v>134</v>
      </c>
    </row>
    <row r="4" spans="2:7" s="1" customFormat="1" x14ac:dyDescent="0.2">
      <c r="B4" s="1" t="s">
        <v>87</v>
      </c>
      <c r="C4" s="1" t="s">
        <v>534</v>
      </c>
    </row>
    <row r="5" spans="2:7" s="1" customFormat="1" x14ac:dyDescent="0.2">
      <c r="B5" s="1" t="s">
        <v>89</v>
      </c>
    </row>
    <row r="7" spans="2:7" x14ac:dyDescent="0.2">
      <c r="B7" s="39"/>
      <c r="C7" s="40"/>
      <c r="D7" s="198" t="s">
        <v>535</v>
      </c>
      <c r="E7" s="199"/>
      <c r="F7" s="199"/>
      <c r="G7" s="200"/>
    </row>
    <row r="8" spans="2:7" x14ac:dyDescent="0.2">
      <c r="B8" s="41" t="s">
        <v>379</v>
      </c>
      <c r="C8" s="42" t="s">
        <v>536</v>
      </c>
      <c r="D8" s="41" t="s">
        <v>537</v>
      </c>
      <c r="E8" s="43" t="s">
        <v>538</v>
      </c>
      <c r="F8" s="43" t="s">
        <v>539</v>
      </c>
      <c r="G8" s="42" t="s">
        <v>540</v>
      </c>
    </row>
    <row r="9" spans="2:7" x14ac:dyDescent="0.2">
      <c r="B9" s="32">
        <v>43158</v>
      </c>
      <c r="C9" s="33">
        <f>WEEKDAY(B9,2)</f>
        <v>2</v>
      </c>
      <c r="D9" s="34"/>
      <c r="E9" s="1"/>
      <c r="F9" s="1"/>
      <c r="G9" s="33"/>
    </row>
    <row r="10" spans="2:7" x14ac:dyDescent="0.2">
      <c r="B10" s="32">
        <v>43202</v>
      </c>
      <c r="C10" s="33">
        <f>WEEKDAY(B10,2)</f>
        <v>4</v>
      </c>
      <c r="D10" s="34"/>
      <c r="E10" s="1"/>
      <c r="F10" s="1"/>
      <c r="G10" s="33"/>
    </row>
    <row r="11" spans="2:7" x14ac:dyDescent="0.2">
      <c r="B11" s="32">
        <v>43452</v>
      </c>
      <c r="C11" s="33">
        <f>WEEKDAY(B11,2)</f>
        <v>2</v>
      </c>
      <c r="D11" s="34"/>
      <c r="E11" s="1"/>
      <c r="F11" s="1"/>
      <c r="G11" s="33"/>
    </row>
    <row r="12" spans="2:7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</row>
    <row r="13" spans="2:7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</row>
    <row r="14" spans="2:7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</row>
    <row r="15" spans="2:7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</row>
    <row r="16" spans="2:7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</row>
    <row r="17" spans="2:7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</row>
    <row r="18" spans="2:7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</row>
    <row r="19" spans="2:7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</row>
    <row r="20" spans="2:7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</row>
    <row r="21" spans="2:7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</row>
    <row r="22" spans="2:7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</row>
    <row r="23" spans="2:7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</row>
    <row r="24" spans="2:7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</row>
    <row r="25" spans="2:7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</row>
    <row r="26" spans="2:7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</row>
    <row r="27" spans="2:7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</row>
    <row r="28" spans="2:7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</row>
    <row r="29" spans="2:7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</row>
    <row r="30" spans="2:7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</row>
    <row r="31" spans="2:7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</row>
    <row r="32" spans="2:7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</row>
    <row r="33" spans="2:7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</row>
    <row r="34" spans="2:7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</row>
    <row r="35" spans="2:7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</row>
    <row r="36" spans="2:7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</row>
    <row r="37" spans="2:7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</row>
    <row r="38" spans="2:7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</row>
    <row r="39" spans="2:7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</row>
    <row r="40" spans="2:7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</row>
    <row r="41" spans="2:7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</row>
    <row r="42" spans="2:7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</row>
    <row r="43" spans="2:7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</row>
    <row r="44" spans="2:7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</row>
    <row r="45" spans="2:7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</row>
    <row r="46" spans="2:7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</row>
    <row r="47" spans="2:7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</row>
    <row r="48" spans="2:7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</row>
    <row r="49" spans="2:7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</row>
    <row r="50" spans="2:7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</row>
    <row r="51" spans="2:7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</row>
    <row r="52" spans="2:7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</row>
    <row r="53" spans="2:7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</row>
    <row r="54" spans="2:7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</row>
    <row r="55" spans="2:7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</row>
    <row r="56" spans="2:7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</row>
    <row r="57" spans="2:7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</row>
    <row r="58" spans="2:7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</row>
    <row r="59" spans="2:7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</row>
    <row r="60" spans="2:7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</row>
    <row r="61" spans="2:7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</row>
    <row r="62" spans="2:7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</row>
    <row r="63" spans="2:7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</row>
    <row r="64" spans="2:7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</row>
    <row r="65" spans="2:7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</row>
    <row r="66" spans="2:7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</row>
    <row r="67" spans="2:7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</row>
    <row r="68" spans="2:7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</row>
    <row r="69" spans="2:7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</row>
    <row r="70" spans="2:7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</row>
    <row r="71" spans="2:7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</row>
    <row r="72" spans="2:7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</row>
    <row r="73" spans="2:7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</row>
    <row r="74" spans="2:7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</row>
    <row r="75" spans="2:7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</row>
    <row r="76" spans="2:7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</row>
    <row r="77" spans="2:7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</row>
    <row r="78" spans="2:7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</row>
    <row r="79" spans="2:7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</row>
    <row r="80" spans="2:7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</row>
    <row r="81" spans="2:7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</row>
    <row r="82" spans="2:7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</row>
    <row r="83" spans="2:7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</row>
    <row r="84" spans="2:7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</row>
    <row r="85" spans="2:7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</row>
    <row r="86" spans="2:7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</row>
    <row r="87" spans="2:7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</row>
    <row r="88" spans="2:7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</row>
    <row r="89" spans="2:7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</row>
    <row r="90" spans="2:7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</row>
    <row r="91" spans="2:7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</row>
    <row r="92" spans="2:7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</row>
    <row r="93" spans="2:7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</row>
    <row r="94" spans="2:7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</row>
    <row r="95" spans="2:7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</row>
    <row r="96" spans="2:7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</row>
    <row r="97" spans="2:7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</row>
    <row r="98" spans="2:7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</row>
    <row r="99" spans="2:7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</row>
    <row r="100" spans="2:7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</row>
    <row r="101" spans="2:7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</row>
    <row r="102" spans="2:7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</row>
    <row r="103" spans="2:7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</row>
    <row r="104" spans="2:7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</row>
    <row r="105" spans="2:7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</row>
    <row r="106" spans="2:7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</row>
    <row r="107" spans="2:7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</row>
    <row r="108" spans="2:7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</row>
    <row r="109" spans="2:7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</row>
    <row r="110" spans="2:7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</row>
    <row r="111" spans="2:7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</row>
    <row r="112" spans="2:7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</row>
    <row r="113" spans="2:7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</row>
    <row r="114" spans="2:7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</row>
    <row r="115" spans="2:7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</row>
    <row r="116" spans="2:7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</row>
    <row r="117" spans="2:7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</row>
    <row r="118" spans="2:7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</row>
    <row r="119" spans="2:7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</row>
    <row r="120" spans="2:7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</row>
    <row r="121" spans="2:7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</row>
    <row r="122" spans="2:7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</row>
    <row r="123" spans="2:7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</row>
    <row r="124" spans="2:7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</row>
    <row r="125" spans="2:7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</row>
    <row r="126" spans="2:7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</row>
    <row r="127" spans="2:7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</row>
    <row r="128" spans="2:7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</row>
    <row r="129" spans="2:7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</row>
    <row r="130" spans="2:7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</row>
    <row r="131" spans="2:7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</row>
    <row r="132" spans="2:7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</row>
    <row r="133" spans="2:7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</row>
    <row r="134" spans="2:7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</row>
    <row r="135" spans="2:7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</row>
    <row r="136" spans="2:7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</row>
    <row r="137" spans="2:7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</row>
    <row r="138" spans="2:7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</row>
    <row r="139" spans="2:7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</row>
    <row r="140" spans="2:7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</row>
    <row r="141" spans="2:7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</row>
    <row r="142" spans="2:7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</row>
    <row r="143" spans="2:7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</row>
    <row r="144" spans="2:7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</row>
    <row r="145" spans="2:7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</row>
    <row r="146" spans="2:7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</row>
    <row r="147" spans="2:7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</row>
    <row r="148" spans="2:7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</row>
    <row r="149" spans="2:7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</row>
    <row r="150" spans="2:7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</row>
    <row r="151" spans="2:7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</row>
    <row r="152" spans="2:7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</row>
    <row r="153" spans="2:7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</row>
    <row r="154" spans="2:7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</row>
    <row r="155" spans="2:7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</row>
    <row r="156" spans="2:7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</row>
    <row r="157" spans="2:7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</row>
    <row r="158" spans="2:7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</row>
    <row r="159" spans="2:7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</row>
    <row r="160" spans="2:7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</row>
    <row r="161" spans="2:7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</row>
    <row r="162" spans="2:7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</row>
    <row r="163" spans="2:7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</row>
    <row r="164" spans="2:7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</row>
    <row r="165" spans="2:7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</row>
    <row r="166" spans="2:7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</row>
    <row r="167" spans="2:7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</row>
    <row r="168" spans="2:7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</row>
    <row r="169" spans="2:7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</row>
    <row r="170" spans="2:7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</row>
    <row r="171" spans="2:7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</row>
    <row r="172" spans="2:7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</row>
    <row r="173" spans="2:7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</row>
    <row r="174" spans="2:7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</row>
    <row r="175" spans="2:7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</row>
    <row r="176" spans="2:7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</row>
    <row r="177" spans="2:7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</row>
    <row r="178" spans="2:7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</row>
    <row r="179" spans="2:7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</row>
    <row r="180" spans="2:7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</row>
    <row r="181" spans="2:7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</row>
    <row r="182" spans="2:7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</row>
    <row r="183" spans="2:7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</row>
    <row r="184" spans="2:7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</row>
    <row r="185" spans="2:7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</row>
    <row r="186" spans="2:7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</row>
    <row r="187" spans="2:7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</row>
    <row r="188" spans="2:7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</row>
    <row r="189" spans="2:7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</row>
    <row r="190" spans="2:7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</row>
    <row r="191" spans="2:7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</row>
    <row r="192" spans="2:7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</row>
    <row r="193" spans="2:7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</row>
    <row r="194" spans="2:7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</row>
    <row r="195" spans="2:7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</row>
    <row r="196" spans="2:7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</row>
    <row r="197" spans="2:7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</row>
    <row r="198" spans="2:7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</row>
    <row r="199" spans="2:7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</row>
    <row r="200" spans="2:7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</row>
    <row r="201" spans="2:7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</row>
    <row r="202" spans="2:7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</row>
    <row r="203" spans="2:7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</row>
    <row r="204" spans="2:7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</row>
    <row r="205" spans="2:7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</row>
    <row r="206" spans="2:7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</row>
    <row r="207" spans="2:7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</row>
    <row r="208" spans="2:7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</row>
    <row r="209" spans="2:7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</row>
    <row r="210" spans="2:7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</row>
    <row r="211" spans="2:7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</row>
    <row r="212" spans="2:7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</row>
    <row r="213" spans="2:7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</row>
    <row r="214" spans="2:7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</row>
    <row r="215" spans="2:7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</row>
    <row r="216" spans="2:7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</row>
    <row r="217" spans="2:7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</row>
    <row r="218" spans="2:7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</row>
    <row r="219" spans="2:7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</row>
    <row r="220" spans="2:7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</row>
    <row r="221" spans="2:7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</row>
    <row r="222" spans="2:7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</row>
    <row r="223" spans="2:7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</row>
    <row r="224" spans="2:7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</row>
    <row r="225" spans="2:7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</row>
    <row r="226" spans="2:7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</row>
    <row r="227" spans="2:7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</row>
    <row r="228" spans="2:7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</row>
    <row r="229" spans="2:7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</row>
    <row r="230" spans="2:7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</row>
    <row r="231" spans="2:7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</row>
    <row r="232" spans="2:7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</row>
    <row r="233" spans="2:7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</row>
    <row r="234" spans="2:7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</row>
    <row r="235" spans="2:7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</row>
    <row r="236" spans="2:7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</row>
    <row r="237" spans="2:7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</row>
    <row r="238" spans="2:7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</row>
    <row r="239" spans="2:7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</row>
    <row r="240" spans="2:7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</row>
    <row r="241" spans="2:7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</row>
    <row r="242" spans="2:7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</row>
    <row r="243" spans="2:7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</row>
    <row r="244" spans="2:7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</row>
    <row r="245" spans="2:7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</row>
    <row r="246" spans="2:7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</row>
    <row r="247" spans="2:7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</row>
    <row r="248" spans="2:7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</row>
    <row r="249" spans="2:7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</row>
    <row r="250" spans="2:7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</row>
    <row r="251" spans="2:7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</row>
    <row r="252" spans="2:7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</row>
    <row r="253" spans="2:7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</row>
    <row r="254" spans="2:7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</row>
    <row r="255" spans="2:7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</row>
    <row r="256" spans="2:7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</row>
    <row r="257" spans="2:7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</row>
    <row r="258" spans="2:7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</row>
    <row r="259" spans="2:7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</row>
    <row r="260" spans="2:7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</row>
    <row r="261" spans="2:7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</row>
  </sheetData>
  <mergeCells count="1">
    <mergeCell ref="D7:G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zoomScale="138" zoomScaleNormal="100" workbookViewId="0">
      <selection activeCell="A2" sqref="A2:XFD5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541</v>
      </c>
    </row>
    <row r="3" spans="2:8" x14ac:dyDescent="0.2">
      <c r="B3" s="1" t="s">
        <v>85</v>
      </c>
      <c r="C3" s="7" t="s">
        <v>134</v>
      </c>
    </row>
    <row r="4" spans="2:8" x14ac:dyDescent="0.2">
      <c r="B4" s="1" t="s">
        <v>87</v>
      </c>
      <c r="C4" s="1" t="s">
        <v>534</v>
      </c>
    </row>
    <row r="5" spans="2:8" x14ac:dyDescent="0.2">
      <c r="B5" s="1" t="s">
        <v>89</v>
      </c>
    </row>
    <row r="7" spans="2:8" x14ac:dyDescent="0.2">
      <c r="B7" s="44" t="s">
        <v>542</v>
      </c>
      <c r="C7" s="201">
        <v>1</v>
      </c>
      <c r="D7" s="202"/>
      <c r="E7" s="201">
        <v>2</v>
      </c>
      <c r="F7" s="202"/>
      <c r="G7" s="201">
        <v>3</v>
      </c>
      <c r="H7" s="202"/>
    </row>
    <row r="8" spans="2:8" x14ac:dyDescent="0.2">
      <c r="B8" s="45" t="s">
        <v>543</v>
      </c>
      <c r="C8" s="46" t="s">
        <v>544</v>
      </c>
      <c r="D8" s="47" t="s">
        <v>545</v>
      </c>
      <c r="E8" s="46" t="s">
        <v>546</v>
      </c>
      <c r="F8" s="47" t="s">
        <v>547</v>
      </c>
      <c r="G8" s="46" t="s">
        <v>548</v>
      </c>
      <c r="H8" s="47" t="s">
        <v>549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8697-D3BB-654E-B4F1-2A9FCEFEFE07}">
  <dimension ref="B2:D156"/>
  <sheetViews>
    <sheetView workbookViewId="0">
      <selection activeCell="A2" sqref="A2:XFD5"/>
    </sheetView>
  </sheetViews>
  <sheetFormatPr baseColWidth="10" defaultRowHeight="16" x14ac:dyDescent="0.2"/>
  <cols>
    <col min="4" max="4" width="12.5703125" customWidth="1"/>
  </cols>
  <sheetData>
    <row r="2" spans="2:4" s="1" customFormat="1" x14ac:dyDescent="0.2">
      <c r="B2" s="1" t="s">
        <v>1</v>
      </c>
      <c r="C2" s="1" t="s">
        <v>649</v>
      </c>
    </row>
    <row r="3" spans="2:4" s="1" customFormat="1" x14ac:dyDescent="0.2">
      <c r="B3" s="1" t="s">
        <v>85</v>
      </c>
      <c r="C3" s="7" t="s">
        <v>134</v>
      </c>
    </row>
    <row r="4" spans="2:4" s="1" customFormat="1" x14ac:dyDescent="0.2">
      <c r="B4" s="1" t="s">
        <v>87</v>
      </c>
      <c r="C4" s="1" t="s">
        <v>650</v>
      </c>
    </row>
    <row r="5" spans="2:4" s="1" customFormat="1" x14ac:dyDescent="0.2">
      <c r="B5" s="1" t="s">
        <v>89</v>
      </c>
    </row>
    <row r="7" spans="2:4" x14ac:dyDescent="0.2">
      <c r="B7" s="165" t="s">
        <v>379</v>
      </c>
      <c r="C7" s="166" t="s">
        <v>559</v>
      </c>
      <c r="D7" s="166" t="s">
        <v>560</v>
      </c>
    </row>
    <row r="8" spans="2:4" x14ac:dyDescent="0.2">
      <c r="B8" s="170" t="s">
        <v>561</v>
      </c>
      <c r="C8" s="167">
        <v>23280</v>
      </c>
      <c r="D8" s="167">
        <v>13918</v>
      </c>
    </row>
    <row r="9" spans="2:4" x14ac:dyDescent="0.2">
      <c r="B9" s="171">
        <v>43498</v>
      </c>
      <c r="C9" s="169">
        <v>24289</v>
      </c>
      <c r="D9" s="169">
        <v>16125</v>
      </c>
    </row>
    <row r="10" spans="2:4" x14ac:dyDescent="0.2">
      <c r="B10" s="172">
        <v>43558</v>
      </c>
      <c r="C10" s="167">
        <v>24609</v>
      </c>
      <c r="D10" s="167">
        <v>14320</v>
      </c>
    </row>
    <row r="11" spans="2:4" x14ac:dyDescent="0.2">
      <c r="B11" s="171">
        <v>43469</v>
      </c>
      <c r="C11" s="169">
        <v>24121</v>
      </c>
      <c r="D11" s="169">
        <v>13191</v>
      </c>
    </row>
    <row r="12" spans="2:4" x14ac:dyDescent="0.2">
      <c r="B12" s="172">
        <v>43560</v>
      </c>
      <c r="C12" s="167">
        <v>24694</v>
      </c>
      <c r="D12" s="167">
        <v>14681</v>
      </c>
    </row>
    <row r="13" spans="2:4" x14ac:dyDescent="0.2">
      <c r="B13" s="173" t="s">
        <v>562</v>
      </c>
      <c r="C13" s="169">
        <v>27434</v>
      </c>
      <c r="D13" s="169">
        <v>20665</v>
      </c>
    </row>
    <row r="14" spans="2:4" x14ac:dyDescent="0.2">
      <c r="B14" s="174" t="s">
        <v>563</v>
      </c>
      <c r="C14" s="167">
        <v>17817</v>
      </c>
      <c r="D14" s="167">
        <v>19868</v>
      </c>
    </row>
    <row r="15" spans="2:4" x14ac:dyDescent="0.2">
      <c r="B15" s="173" t="s">
        <v>564</v>
      </c>
      <c r="C15" s="169">
        <v>27909</v>
      </c>
      <c r="D15" s="169">
        <v>5754</v>
      </c>
    </row>
    <row r="16" spans="2:4" x14ac:dyDescent="0.2">
      <c r="B16" s="172">
        <v>44109</v>
      </c>
      <c r="C16" s="167">
        <v>28466</v>
      </c>
      <c r="D16" s="167">
        <v>6058</v>
      </c>
    </row>
    <row r="17" spans="2:4" x14ac:dyDescent="0.2">
      <c r="B17" s="173" t="s">
        <v>565</v>
      </c>
      <c r="C17" s="169">
        <v>40821</v>
      </c>
      <c r="D17" s="169">
        <v>8395</v>
      </c>
    </row>
    <row r="18" spans="2:4" x14ac:dyDescent="0.2">
      <c r="B18" s="174" t="s">
        <v>566</v>
      </c>
      <c r="C18" s="167">
        <v>37674</v>
      </c>
      <c r="D18" s="167">
        <v>10375</v>
      </c>
    </row>
    <row r="19" spans="2:4" x14ac:dyDescent="0.2">
      <c r="B19" s="171">
        <v>44145</v>
      </c>
      <c r="C19" s="169">
        <v>37519</v>
      </c>
      <c r="D19" s="169">
        <v>8427</v>
      </c>
    </row>
    <row r="20" spans="2:4" x14ac:dyDescent="0.2">
      <c r="B20" s="172">
        <v>43872</v>
      </c>
      <c r="C20" s="167">
        <v>36817</v>
      </c>
      <c r="D20" s="167">
        <v>6751</v>
      </c>
    </row>
    <row r="21" spans="2:4" x14ac:dyDescent="0.2">
      <c r="B21" s="171">
        <v>43901</v>
      </c>
      <c r="C21" s="169">
        <v>36748</v>
      </c>
      <c r="D21" s="169">
        <v>6648</v>
      </c>
    </row>
    <row r="22" spans="2:4" x14ac:dyDescent="0.2">
      <c r="B22" s="174" t="s">
        <v>567</v>
      </c>
      <c r="C22" s="167">
        <v>36811</v>
      </c>
      <c r="D22" s="167">
        <v>6082</v>
      </c>
    </row>
    <row r="23" spans="2:4" x14ac:dyDescent="0.2">
      <c r="B23" s="171">
        <v>43873</v>
      </c>
      <c r="C23" s="169">
        <v>35348</v>
      </c>
      <c r="D23" s="169">
        <v>5784</v>
      </c>
    </row>
    <row r="24" spans="2:4" x14ac:dyDescent="0.2">
      <c r="B24" s="174" t="s">
        <v>568</v>
      </c>
      <c r="C24" s="167">
        <v>33902</v>
      </c>
      <c r="D24" s="167">
        <v>5946</v>
      </c>
    </row>
    <row r="25" spans="2:4" x14ac:dyDescent="0.2">
      <c r="B25" s="171">
        <v>44531</v>
      </c>
      <c r="C25" s="169">
        <v>32538</v>
      </c>
      <c r="D25" s="169">
        <v>6074</v>
      </c>
    </row>
    <row r="26" spans="2:4" x14ac:dyDescent="0.2">
      <c r="B26" s="174" t="s">
        <v>569</v>
      </c>
      <c r="C26" s="167">
        <v>34274</v>
      </c>
      <c r="D26" s="167">
        <v>6032</v>
      </c>
    </row>
    <row r="27" spans="2:4" x14ac:dyDescent="0.2">
      <c r="B27" s="173" t="s">
        <v>570</v>
      </c>
      <c r="C27" s="169">
        <v>34849</v>
      </c>
      <c r="D27" s="169">
        <v>5934</v>
      </c>
    </row>
    <row r="28" spans="2:4" x14ac:dyDescent="0.2">
      <c r="B28" s="172">
        <v>44442</v>
      </c>
      <c r="C28" s="167">
        <v>34958</v>
      </c>
      <c r="D28" s="167">
        <v>6389</v>
      </c>
    </row>
    <row r="29" spans="2:4" x14ac:dyDescent="0.2">
      <c r="B29" s="173" t="s">
        <v>571</v>
      </c>
      <c r="C29" s="169">
        <v>33668</v>
      </c>
      <c r="D29" s="169">
        <v>6558</v>
      </c>
    </row>
    <row r="30" spans="2:4" x14ac:dyDescent="0.2">
      <c r="B30" s="172">
        <v>44351</v>
      </c>
      <c r="C30" s="167">
        <v>32335</v>
      </c>
      <c r="D30" s="167">
        <v>6807</v>
      </c>
    </row>
    <row r="31" spans="2:4" x14ac:dyDescent="0.2">
      <c r="B31" s="173" t="s">
        <v>572</v>
      </c>
      <c r="C31" s="169">
        <v>30988</v>
      </c>
      <c r="D31" s="169">
        <v>7172</v>
      </c>
    </row>
    <row r="32" spans="2:4" x14ac:dyDescent="0.2">
      <c r="B32" s="172">
        <v>44291</v>
      </c>
      <c r="C32" s="167">
        <v>30023</v>
      </c>
      <c r="D32" s="167">
        <v>7534</v>
      </c>
    </row>
    <row r="33" spans="2:4" x14ac:dyDescent="0.2">
      <c r="B33" s="173" t="s">
        <v>573</v>
      </c>
      <c r="C33" s="169">
        <v>29176</v>
      </c>
      <c r="D33" s="169">
        <v>8296</v>
      </c>
    </row>
    <row r="34" spans="2:4" x14ac:dyDescent="0.2">
      <c r="B34" s="172">
        <v>44202</v>
      </c>
      <c r="C34" s="167">
        <v>28180</v>
      </c>
      <c r="D34" s="167">
        <v>8784</v>
      </c>
    </row>
    <row r="35" spans="2:4" x14ac:dyDescent="0.2">
      <c r="B35" s="173" t="s">
        <v>574</v>
      </c>
      <c r="C35" s="169">
        <v>27553</v>
      </c>
      <c r="D35" s="169">
        <v>9407</v>
      </c>
    </row>
    <row r="36" spans="2:4" x14ac:dyDescent="0.2">
      <c r="B36" s="174" t="s">
        <v>575</v>
      </c>
      <c r="C36" s="167">
        <v>26546</v>
      </c>
      <c r="D36" s="167">
        <v>10160</v>
      </c>
    </row>
    <row r="37" spans="2:4" x14ac:dyDescent="0.2">
      <c r="B37" s="173" t="s">
        <v>576</v>
      </c>
      <c r="C37" s="169">
        <v>25539</v>
      </c>
      <c r="D37" s="169">
        <v>10859</v>
      </c>
    </row>
    <row r="38" spans="2:4" x14ac:dyDescent="0.2">
      <c r="B38" s="174" t="s">
        <v>577</v>
      </c>
      <c r="C38" s="167">
        <v>24136</v>
      </c>
      <c r="D38" s="167">
        <v>11871</v>
      </c>
    </row>
    <row r="39" spans="2:4" x14ac:dyDescent="0.2">
      <c r="B39" s="171">
        <v>44508</v>
      </c>
      <c r="C39" s="169">
        <v>22322</v>
      </c>
      <c r="D39" s="169">
        <v>13389</v>
      </c>
    </row>
    <row r="40" spans="2:4" x14ac:dyDescent="0.2">
      <c r="B40" s="174" t="s">
        <v>578</v>
      </c>
      <c r="C40" s="167">
        <v>19422</v>
      </c>
      <c r="D40" s="167">
        <v>14653</v>
      </c>
    </row>
    <row r="41" spans="2:4" x14ac:dyDescent="0.2">
      <c r="B41" s="171">
        <v>44386</v>
      </c>
      <c r="C41" s="169">
        <v>16482</v>
      </c>
      <c r="D41" s="169">
        <v>15513</v>
      </c>
    </row>
    <row r="42" spans="2:4" x14ac:dyDescent="0.2">
      <c r="B42" s="174" t="s">
        <v>579</v>
      </c>
      <c r="C42" s="167">
        <v>14040</v>
      </c>
      <c r="D42" s="167">
        <v>15939</v>
      </c>
    </row>
    <row r="43" spans="2:4" x14ac:dyDescent="0.2">
      <c r="B43" s="171">
        <v>44326</v>
      </c>
      <c r="C43" s="169">
        <v>13021</v>
      </c>
      <c r="D43" s="169">
        <v>15645</v>
      </c>
    </row>
    <row r="44" spans="2:4" x14ac:dyDescent="0.2">
      <c r="B44" s="174" t="s">
        <v>580</v>
      </c>
      <c r="C44" s="167">
        <v>12212</v>
      </c>
      <c r="D44" s="167">
        <v>14982</v>
      </c>
    </row>
    <row r="45" spans="2:4" x14ac:dyDescent="0.2">
      <c r="B45" s="171">
        <v>44238</v>
      </c>
      <c r="C45" s="169">
        <v>11362</v>
      </c>
      <c r="D45" s="169">
        <v>13715</v>
      </c>
    </row>
    <row r="46" spans="2:4" x14ac:dyDescent="0.2">
      <c r="B46" s="174" t="s">
        <v>581</v>
      </c>
      <c r="C46" s="167">
        <v>11531</v>
      </c>
      <c r="D46" s="167">
        <v>12778</v>
      </c>
    </row>
    <row r="47" spans="2:4" x14ac:dyDescent="0.2">
      <c r="B47" s="173" t="s">
        <v>582</v>
      </c>
      <c r="C47" s="169">
        <v>11356</v>
      </c>
      <c r="D47" s="169">
        <v>11774</v>
      </c>
    </row>
    <row r="48" spans="2:4" x14ac:dyDescent="0.2">
      <c r="B48" s="174" t="s">
        <v>583</v>
      </c>
      <c r="C48" s="167">
        <v>10719</v>
      </c>
      <c r="D48" s="167">
        <v>11128</v>
      </c>
    </row>
    <row r="49" spans="2:4" x14ac:dyDescent="0.2">
      <c r="B49" s="173" t="s">
        <v>584</v>
      </c>
      <c r="C49" s="169">
        <v>9762</v>
      </c>
      <c r="D49" s="169">
        <v>10077</v>
      </c>
    </row>
    <row r="50" spans="2:4" x14ac:dyDescent="0.2">
      <c r="B50" s="172">
        <v>44866</v>
      </c>
      <c r="C50" s="167">
        <v>10840</v>
      </c>
      <c r="D50" s="167">
        <v>11393</v>
      </c>
    </row>
    <row r="51" spans="2:4" x14ac:dyDescent="0.2">
      <c r="B51" s="173" t="s">
        <v>585</v>
      </c>
      <c r="C51" s="169">
        <v>10999</v>
      </c>
      <c r="D51" s="169">
        <v>13103</v>
      </c>
    </row>
    <row r="52" spans="2:4" x14ac:dyDescent="0.2">
      <c r="B52" s="172">
        <v>44775</v>
      </c>
      <c r="C52" s="167">
        <v>10921</v>
      </c>
      <c r="D52" s="167">
        <v>13621</v>
      </c>
    </row>
    <row r="53" spans="2:4" x14ac:dyDescent="0.2">
      <c r="B53" s="173" t="s">
        <v>586</v>
      </c>
      <c r="C53" s="169">
        <v>10322</v>
      </c>
      <c r="D53" s="169">
        <v>13721</v>
      </c>
    </row>
    <row r="54" spans="2:4" x14ac:dyDescent="0.2">
      <c r="B54" s="172">
        <v>44776</v>
      </c>
      <c r="C54" s="167">
        <v>10553</v>
      </c>
      <c r="D54" s="167">
        <v>13581</v>
      </c>
    </row>
    <row r="55" spans="2:4" x14ac:dyDescent="0.2">
      <c r="B55" s="173" t="s">
        <v>587</v>
      </c>
      <c r="C55" s="169">
        <v>10317</v>
      </c>
      <c r="D55" s="169">
        <v>13403</v>
      </c>
    </row>
    <row r="56" spans="2:4" x14ac:dyDescent="0.2">
      <c r="B56" s="172">
        <v>44685</v>
      </c>
      <c r="C56" s="167">
        <v>10177</v>
      </c>
      <c r="D56" s="167">
        <v>13063</v>
      </c>
    </row>
    <row r="57" spans="2:4" x14ac:dyDescent="0.2">
      <c r="B57" s="173" t="s">
        <v>588</v>
      </c>
      <c r="C57" s="169">
        <v>10200</v>
      </c>
      <c r="D57" s="169">
        <v>12991</v>
      </c>
    </row>
    <row r="58" spans="2:4" x14ac:dyDescent="0.2">
      <c r="B58" s="172">
        <v>44625</v>
      </c>
      <c r="C58" s="167">
        <v>10188</v>
      </c>
      <c r="D58" s="167">
        <v>13197</v>
      </c>
    </row>
    <row r="59" spans="2:4" x14ac:dyDescent="0.2">
      <c r="B59" s="173" t="s">
        <v>589</v>
      </c>
      <c r="C59" s="169">
        <v>10825</v>
      </c>
      <c r="D59" s="169">
        <v>13715</v>
      </c>
    </row>
    <row r="60" spans="2:4" x14ac:dyDescent="0.2">
      <c r="B60" s="174" t="s">
        <v>590</v>
      </c>
      <c r="C60" s="167">
        <v>10796</v>
      </c>
      <c r="D60" s="167">
        <v>14099</v>
      </c>
    </row>
    <row r="61" spans="2:4" x14ac:dyDescent="0.2">
      <c r="B61" s="173" t="s">
        <v>591</v>
      </c>
      <c r="C61" s="169">
        <v>11078</v>
      </c>
      <c r="D61" s="169">
        <v>14718</v>
      </c>
    </row>
    <row r="62" spans="2:4" x14ac:dyDescent="0.2">
      <c r="B62" s="172">
        <v>44902</v>
      </c>
      <c r="C62" s="167">
        <v>11001</v>
      </c>
      <c r="D62" s="167">
        <v>16491</v>
      </c>
    </row>
    <row r="63" spans="2:4" x14ac:dyDescent="0.2">
      <c r="B63" s="173" t="s">
        <v>592</v>
      </c>
      <c r="C63" s="169">
        <v>10614</v>
      </c>
      <c r="D63" s="169">
        <v>17901</v>
      </c>
    </row>
    <row r="64" spans="2:4" x14ac:dyDescent="0.2">
      <c r="B64" s="172">
        <v>44812</v>
      </c>
      <c r="C64" s="167">
        <v>9787</v>
      </c>
      <c r="D64" s="167">
        <v>20734</v>
      </c>
    </row>
    <row r="65" spans="2:4" x14ac:dyDescent="0.2">
      <c r="B65" s="173" t="s">
        <v>593</v>
      </c>
      <c r="C65" s="169">
        <v>8281</v>
      </c>
      <c r="D65" s="169">
        <v>23057</v>
      </c>
    </row>
    <row r="66" spans="2:4" x14ac:dyDescent="0.2">
      <c r="B66" s="172">
        <v>44721</v>
      </c>
      <c r="C66" s="167">
        <v>7104</v>
      </c>
      <c r="D66" s="167">
        <v>24495</v>
      </c>
    </row>
    <row r="67" spans="2:4" x14ac:dyDescent="0.2">
      <c r="B67" s="173" t="s">
        <v>594</v>
      </c>
      <c r="C67" s="169">
        <v>6274</v>
      </c>
      <c r="D67" s="169">
        <v>25295</v>
      </c>
    </row>
    <row r="68" spans="2:4" x14ac:dyDescent="0.2">
      <c r="B68" s="172">
        <v>44661</v>
      </c>
      <c r="C68" s="167">
        <v>5778</v>
      </c>
      <c r="D68" s="167">
        <v>24604</v>
      </c>
    </row>
    <row r="69" spans="2:4" x14ac:dyDescent="0.2">
      <c r="B69" s="173" t="s">
        <v>595</v>
      </c>
      <c r="C69" s="169">
        <v>6045</v>
      </c>
      <c r="D69" s="169">
        <v>22312</v>
      </c>
    </row>
    <row r="70" spans="2:4" x14ac:dyDescent="0.2">
      <c r="B70" s="172">
        <v>44572</v>
      </c>
      <c r="C70" s="167">
        <v>6409</v>
      </c>
      <c r="D70" s="167">
        <v>19487</v>
      </c>
    </row>
    <row r="71" spans="2:4" x14ac:dyDescent="0.2">
      <c r="B71" s="173" t="s">
        <v>596</v>
      </c>
      <c r="C71" s="169">
        <v>7425</v>
      </c>
      <c r="D71" s="169">
        <v>17313</v>
      </c>
    </row>
    <row r="72" spans="2:4" x14ac:dyDescent="0.2">
      <c r="B72" s="174" t="s">
        <v>597</v>
      </c>
      <c r="C72" s="167">
        <v>8059</v>
      </c>
      <c r="D72" s="167">
        <v>15750</v>
      </c>
    </row>
    <row r="73" spans="2:4" x14ac:dyDescent="0.2">
      <c r="B73" s="173" t="s">
        <v>598</v>
      </c>
      <c r="C73" s="169">
        <v>8538</v>
      </c>
      <c r="D73" s="169">
        <v>14319</v>
      </c>
    </row>
    <row r="74" spans="2:4" x14ac:dyDescent="0.2">
      <c r="B74" s="174" t="s">
        <v>599</v>
      </c>
      <c r="C74" s="167">
        <v>7931</v>
      </c>
      <c r="D74" s="167">
        <v>13090</v>
      </c>
    </row>
    <row r="75" spans="2:4" x14ac:dyDescent="0.2">
      <c r="B75" s="171">
        <v>45200</v>
      </c>
      <c r="C75" s="169">
        <v>8877</v>
      </c>
      <c r="D75" s="169">
        <v>14119</v>
      </c>
    </row>
    <row r="76" spans="2:4" x14ac:dyDescent="0.2">
      <c r="B76" s="174" t="s">
        <v>600</v>
      </c>
      <c r="C76" s="167">
        <v>9425</v>
      </c>
      <c r="D76" s="167">
        <v>15745</v>
      </c>
    </row>
    <row r="77" spans="2:4" x14ac:dyDescent="0.2">
      <c r="B77" s="171">
        <v>45109</v>
      </c>
      <c r="C77" s="169">
        <v>9899</v>
      </c>
      <c r="D77" s="169">
        <v>16079</v>
      </c>
    </row>
    <row r="78" spans="2:4" x14ac:dyDescent="0.2">
      <c r="B78" s="174" t="s">
        <v>601</v>
      </c>
      <c r="C78" s="167">
        <v>9991</v>
      </c>
      <c r="D78" s="167">
        <v>15819</v>
      </c>
    </row>
    <row r="79" spans="2:4" x14ac:dyDescent="0.2">
      <c r="B79" s="171">
        <v>45110</v>
      </c>
      <c r="C79" s="169">
        <v>10394</v>
      </c>
      <c r="D79" s="169">
        <v>15608</v>
      </c>
    </row>
    <row r="80" spans="2:4" x14ac:dyDescent="0.2">
      <c r="B80" s="174" t="s">
        <v>602</v>
      </c>
      <c r="C80" s="167">
        <v>10700</v>
      </c>
      <c r="D80" s="167">
        <v>16031</v>
      </c>
    </row>
    <row r="81" spans="2:4" x14ac:dyDescent="0.2">
      <c r="B81" s="171">
        <v>45020</v>
      </c>
      <c r="C81" s="169">
        <v>10924</v>
      </c>
      <c r="D81" s="169">
        <v>16135</v>
      </c>
    </row>
    <row r="82" spans="2:4" x14ac:dyDescent="0.2">
      <c r="B82" s="174" t="s">
        <v>603</v>
      </c>
      <c r="C82" s="167">
        <v>11132</v>
      </c>
      <c r="D82" s="167">
        <v>16200</v>
      </c>
    </row>
    <row r="83" spans="2:4" x14ac:dyDescent="0.2">
      <c r="B83" s="171">
        <v>44962</v>
      </c>
      <c r="C83" s="169">
        <v>11295</v>
      </c>
      <c r="D83" s="169">
        <v>16143</v>
      </c>
    </row>
    <row r="84" spans="2:4" x14ac:dyDescent="0.2">
      <c r="B84" s="174" t="s">
        <v>604</v>
      </c>
      <c r="C84" s="167">
        <v>12360</v>
      </c>
      <c r="D84" s="167">
        <v>16635</v>
      </c>
    </row>
    <row r="85" spans="2:4" x14ac:dyDescent="0.2">
      <c r="B85" s="173" t="s">
        <v>605</v>
      </c>
      <c r="C85" s="169">
        <v>12656</v>
      </c>
      <c r="D85" s="169">
        <v>17075</v>
      </c>
    </row>
    <row r="86" spans="2:4" x14ac:dyDescent="0.2">
      <c r="B86" s="174" t="s">
        <v>606</v>
      </c>
      <c r="C86" s="167">
        <v>13385</v>
      </c>
      <c r="D86" s="167">
        <v>17334</v>
      </c>
    </row>
    <row r="87" spans="2:4" x14ac:dyDescent="0.2">
      <c r="B87" s="173" t="s">
        <v>607</v>
      </c>
      <c r="C87" s="169">
        <v>13468</v>
      </c>
      <c r="D87" s="169">
        <v>17775</v>
      </c>
    </row>
    <row r="88" spans="2:4" x14ac:dyDescent="0.2">
      <c r="B88" s="172">
        <v>45237</v>
      </c>
      <c r="C88" s="167">
        <v>13777</v>
      </c>
      <c r="D88" s="167">
        <v>18720</v>
      </c>
    </row>
    <row r="89" spans="2:4" x14ac:dyDescent="0.2">
      <c r="B89" s="173" t="s">
        <v>608</v>
      </c>
      <c r="C89" s="169">
        <v>13575</v>
      </c>
      <c r="D89" s="169">
        <v>20239</v>
      </c>
    </row>
    <row r="90" spans="2:4" x14ac:dyDescent="0.2">
      <c r="B90" s="172">
        <v>45146</v>
      </c>
      <c r="C90" s="167">
        <v>13488</v>
      </c>
      <c r="D90" s="167">
        <v>22034</v>
      </c>
    </row>
    <row r="91" spans="2:4" x14ac:dyDescent="0.2">
      <c r="B91" s="173" t="s">
        <v>609</v>
      </c>
      <c r="C91" s="169">
        <v>12523</v>
      </c>
      <c r="D91" s="169">
        <v>23470</v>
      </c>
    </row>
    <row r="92" spans="2:4" x14ac:dyDescent="0.2">
      <c r="B92" s="172">
        <v>45055</v>
      </c>
      <c r="C92" s="167">
        <v>11323</v>
      </c>
      <c r="D92" s="167">
        <v>23557</v>
      </c>
    </row>
    <row r="93" spans="2:4" x14ac:dyDescent="0.2">
      <c r="B93" s="173" t="s">
        <v>610</v>
      </c>
      <c r="C93" s="169">
        <v>10980</v>
      </c>
      <c r="D93" s="169">
        <v>23045</v>
      </c>
    </row>
    <row r="94" spans="2:4" x14ac:dyDescent="0.2">
      <c r="B94" s="172">
        <v>44995</v>
      </c>
      <c r="C94" s="167">
        <v>10945</v>
      </c>
      <c r="D94" s="167">
        <v>21497</v>
      </c>
    </row>
    <row r="95" spans="2:4" x14ac:dyDescent="0.2">
      <c r="B95" s="173" t="s">
        <v>611</v>
      </c>
      <c r="C95" s="169">
        <v>11629</v>
      </c>
      <c r="D95" s="169">
        <v>19430</v>
      </c>
    </row>
    <row r="96" spans="2:4" x14ac:dyDescent="0.2">
      <c r="B96" s="174" t="s">
        <v>612</v>
      </c>
      <c r="C96" s="167">
        <v>12103</v>
      </c>
      <c r="D96" s="167">
        <v>17174</v>
      </c>
    </row>
    <row r="97" spans="2:4" x14ac:dyDescent="0.2">
      <c r="B97" s="173" t="s">
        <v>613</v>
      </c>
      <c r="C97" s="169">
        <v>13160</v>
      </c>
      <c r="D97" s="169">
        <v>15474</v>
      </c>
    </row>
    <row r="98" spans="2:4" x14ac:dyDescent="0.2">
      <c r="B98" s="174" t="s">
        <v>614</v>
      </c>
      <c r="C98" s="167">
        <v>14098</v>
      </c>
      <c r="D98" s="167">
        <v>14188</v>
      </c>
    </row>
    <row r="99" spans="2:4" x14ac:dyDescent="0.2">
      <c r="B99" s="173" t="s">
        <v>615</v>
      </c>
      <c r="C99" s="169">
        <v>14498</v>
      </c>
      <c r="D99" s="169">
        <v>13303</v>
      </c>
    </row>
    <row r="100" spans="2:4" x14ac:dyDescent="0.2">
      <c r="B100" s="172">
        <v>45292</v>
      </c>
      <c r="C100" s="167">
        <v>13090</v>
      </c>
      <c r="D100" s="167">
        <v>12021</v>
      </c>
    </row>
    <row r="101" spans="2:4" x14ac:dyDescent="0.2">
      <c r="B101" s="171">
        <v>45536</v>
      </c>
      <c r="C101" s="169">
        <v>14418</v>
      </c>
      <c r="D101" s="169">
        <v>12808</v>
      </c>
    </row>
    <row r="102" spans="2:4" x14ac:dyDescent="0.2">
      <c r="B102" s="174" t="s">
        <v>616</v>
      </c>
      <c r="C102" s="167">
        <v>15342</v>
      </c>
      <c r="D102" s="167">
        <v>13773</v>
      </c>
    </row>
    <row r="103" spans="2:4" x14ac:dyDescent="0.2">
      <c r="B103" s="171">
        <v>45445</v>
      </c>
      <c r="C103" s="169">
        <v>15952</v>
      </c>
      <c r="D103" s="169">
        <v>13478</v>
      </c>
    </row>
    <row r="104" spans="2:4" x14ac:dyDescent="0.2">
      <c r="B104" s="174" t="s">
        <v>617</v>
      </c>
      <c r="C104" s="167">
        <v>16326</v>
      </c>
      <c r="D104" s="167">
        <v>12938</v>
      </c>
    </row>
    <row r="105" spans="2:4" x14ac:dyDescent="0.2">
      <c r="B105" s="171">
        <v>45415</v>
      </c>
      <c r="C105" s="169">
        <v>16790</v>
      </c>
      <c r="D105" s="169">
        <v>12519</v>
      </c>
    </row>
    <row r="106" spans="2:4" x14ac:dyDescent="0.2">
      <c r="B106" s="174" t="s">
        <v>618</v>
      </c>
      <c r="C106" s="167">
        <v>17398</v>
      </c>
      <c r="D106" s="167">
        <v>12213</v>
      </c>
    </row>
    <row r="107" spans="2:4" x14ac:dyDescent="0.2">
      <c r="B107" s="171">
        <v>45326</v>
      </c>
      <c r="C107" s="169">
        <v>17232</v>
      </c>
      <c r="D107" s="169">
        <v>11788</v>
      </c>
    </row>
    <row r="108" spans="2:4" x14ac:dyDescent="0.2">
      <c r="B108" s="174" t="s">
        <v>619</v>
      </c>
      <c r="C108" s="167">
        <v>17769</v>
      </c>
      <c r="D108" s="167">
        <v>11763</v>
      </c>
    </row>
    <row r="109" spans="2:4" x14ac:dyDescent="0.2">
      <c r="B109" s="173" t="s">
        <v>620</v>
      </c>
      <c r="C109" s="169">
        <v>18484</v>
      </c>
      <c r="D109" s="169">
        <v>11701</v>
      </c>
    </row>
    <row r="110" spans="2:4" x14ac:dyDescent="0.2">
      <c r="B110" s="174" t="s">
        <v>621</v>
      </c>
      <c r="C110" s="167">
        <v>18910</v>
      </c>
      <c r="D110" s="167">
        <v>12006</v>
      </c>
    </row>
    <row r="111" spans="2:4" x14ac:dyDescent="0.2">
      <c r="B111" s="171">
        <v>45602</v>
      </c>
      <c r="C111" s="169">
        <v>19029</v>
      </c>
      <c r="D111" s="169">
        <v>12585</v>
      </c>
    </row>
    <row r="112" spans="2:4" x14ac:dyDescent="0.2">
      <c r="B112" s="174" t="s">
        <v>622</v>
      </c>
      <c r="C112" s="167">
        <v>19068</v>
      </c>
      <c r="D112" s="167">
        <v>12821</v>
      </c>
    </row>
    <row r="113" spans="2:4" x14ac:dyDescent="0.2">
      <c r="B113" s="171">
        <v>45542</v>
      </c>
      <c r="C113" s="169">
        <v>19164</v>
      </c>
      <c r="D113" s="169">
        <v>13634</v>
      </c>
    </row>
    <row r="114" spans="2:4" x14ac:dyDescent="0.2">
      <c r="B114" s="174" t="s">
        <v>623</v>
      </c>
      <c r="C114" s="167">
        <v>19253</v>
      </c>
      <c r="D114" s="167">
        <v>14665</v>
      </c>
    </row>
    <row r="115" spans="2:4" x14ac:dyDescent="0.2">
      <c r="B115" s="171">
        <v>45451</v>
      </c>
      <c r="C115" s="169">
        <v>18476</v>
      </c>
      <c r="D115" s="169">
        <v>15877</v>
      </c>
    </row>
    <row r="116" spans="2:4" x14ac:dyDescent="0.2">
      <c r="B116" s="174" t="s">
        <v>624</v>
      </c>
      <c r="C116" s="167">
        <v>17831</v>
      </c>
      <c r="D116" s="167">
        <v>16745</v>
      </c>
    </row>
    <row r="117" spans="2:4" x14ac:dyDescent="0.2">
      <c r="B117" s="173" t="s">
        <v>625</v>
      </c>
      <c r="C117" s="169">
        <v>16041</v>
      </c>
      <c r="D117" s="169">
        <v>15117</v>
      </c>
    </row>
    <row r="118" spans="2:4" x14ac:dyDescent="0.2">
      <c r="B118" s="172">
        <v>45301</v>
      </c>
      <c r="C118" s="167">
        <v>16142</v>
      </c>
      <c r="D118" s="167">
        <v>13942</v>
      </c>
    </row>
    <row r="119" spans="2:4" x14ac:dyDescent="0.2">
      <c r="B119" s="173" t="s">
        <v>626</v>
      </c>
      <c r="C119" s="169">
        <v>16279</v>
      </c>
      <c r="D119" s="169">
        <v>12479</v>
      </c>
    </row>
    <row r="120" spans="2:4" x14ac:dyDescent="0.2">
      <c r="B120" s="174" t="s">
        <v>627</v>
      </c>
      <c r="C120" s="167">
        <v>16485</v>
      </c>
      <c r="D120" s="167">
        <v>11773</v>
      </c>
    </row>
    <row r="121" spans="2:4" x14ac:dyDescent="0.2">
      <c r="B121" s="171">
        <v>45637</v>
      </c>
      <c r="C121" s="169">
        <v>17486</v>
      </c>
      <c r="D121" s="169">
        <v>10712</v>
      </c>
    </row>
    <row r="122" spans="2:4" x14ac:dyDescent="0.2">
      <c r="B122" s="174" t="s">
        <v>628</v>
      </c>
      <c r="C122" s="167">
        <v>18053</v>
      </c>
      <c r="D122" s="167">
        <v>9564</v>
      </c>
    </row>
    <row r="123" spans="2:4" x14ac:dyDescent="0.2">
      <c r="B123" s="171">
        <v>45577</v>
      </c>
      <c r="C123" s="169">
        <v>15048</v>
      </c>
      <c r="D123" s="169">
        <v>8829</v>
      </c>
    </row>
    <row r="124" spans="2:4" x14ac:dyDescent="0.2">
      <c r="B124" s="174" t="s">
        <v>629</v>
      </c>
      <c r="C124" s="167">
        <v>17385</v>
      </c>
      <c r="D124" s="167">
        <v>8338</v>
      </c>
    </row>
    <row r="125" spans="2:4" x14ac:dyDescent="0.2">
      <c r="B125" s="171">
        <v>45839</v>
      </c>
      <c r="C125" s="169">
        <v>17662</v>
      </c>
      <c r="D125" s="169">
        <v>8548</v>
      </c>
    </row>
    <row r="126" spans="2:4" x14ac:dyDescent="0.2">
      <c r="B126" s="174" t="s">
        <v>630</v>
      </c>
      <c r="C126" s="167">
        <v>19247</v>
      </c>
      <c r="D126" s="167">
        <v>9483</v>
      </c>
    </row>
    <row r="127" spans="2:4" x14ac:dyDescent="0.2">
      <c r="B127" s="171">
        <v>45749</v>
      </c>
      <c r="C127" s="169">
        <v>19531</v>
      </c>
      <c r="D127" s="169">
        <v>9566</v>
      </c>
    </row>
    <row r="128" spans="2:4" x14ac:dyDescent="0.2">
      <c r="B128" s="174" t="s">
        <v>631</v>
      </c>
      <c r="C128" s="167">
        <v>19687</v>
      </c>
      <c r="D128" s="167">
        <v>9353</v>
      </c>
    </row>
    <row r="129" spans="2:4" x14ac:dyDescent="0.2">
      <c r="B129" s="171">
        <v>45750</v>
      </c>
      <c r="C129" s="169">
        <v>19520</v>
      </c>
      <c r="D129" s="169">
        <v>9010</v>
      </c>
    </row>
    <row r="130" spans="2:4" x14ac:dyDescent="0.2">
      <c r="B130" s="174" t="s">
        <v>632</v>
      </c>
      <c r="C130" s="167">
        <v>20356</v>
      </c>
      <c r="D130" s="167">
        <v>9066</v>
      </c>
    </row>
    <row r="131" spans="2:4" x14ac:dyDescent="0.2">
      <c r="B131" s="171">
        <v>45661</v>
      </c>
      <c r="C131" s="169">
        <v>20331</v>
      </c>
      <c r="D131" s="169">
        <v>8902</v>
      </c>
    </row>
    <row r="132" spans="2:4" x14ac:dyDescent="0.2">
      <c r="B132" s="174" t="s">
        <v>633</v>
      </c>
      <c r="C132" s="167">
        <v>20617</v>
      </c>
      <c r="D132" s="167">
        <v>8857</v>
      </c>
    </row>
    <row r="133" spans="2:4" x14ac:dyDescent="0.2">
      <c r="B133" s="171">
        <v>45813</v>
      </c>
      <c r="C133" s="169">
        <v>20630</v>
      </c>
      <c r="D133" s="169">
        <v>9097</v>
      </c>
    </row>
    <row r="134" spans="2:4" x14ac:dyDescent="0.2">
      <c r="B134" s="174" t="s">
        <v>634</v>
      </c>
      <c r="C134" s="167">
        <v>20534</v>
      </c>
      <c r="D134" s="167">
        <v>9248</v>
      </c>
    </row>
    <row r="135" spans="2:4" x14ac:dyDescent="0.2">
      <c r="B135" s="173" t="s">
        <v>635</v>
      </c>
      <c r="C135" s="169">
        <v>20834</v>
      </c>
      <c r="D135" s="169">
        <v>9363</v>
      </c>
    </row>
    <row r="136" spans="2:4" x14ac:dyDescent="0.2">
      <c r="B136" s="172">
        <v>45936</v>
      </c>
      <c r="C136" s="167">
        <v>21179</v>
      </c>
      <c r="D136" s="167">
        <v>9731</v>
      </c>
    </row>
    <row r="137" spans="2:4" x14ac:dyDescent="0.2">
      <c r="B137" s="173" t="s">
        <v>636</v>
      </c>
      <c r="C137" s="169">
        <v>21084</v>
      </c>
      <c r="D137" s="169">
        <v>10026</v>
      </c>
    </row>
    <row r="138" spans="2:4" x14ac:dyDescent="0.2">
      <c r="B138" s="172">
        <v>45876</v>
      </c>
      <c r="C138" s="167">
        <v>21394</v>
      </c>
      <c r="D138" s="167">
        <v>10509</v>
      </c>
    </row>
    <row r="139" spans="2:4" x14ac:dyDescent="0.2">
      <c r="B139" s="173" t="s">
        <v>637</v>
      </c>
      <c r="C139" s="169">
        <v>21478</v>
      </c>
      <c r="D139" s="169">
        <v>11032</v>
      </c>
    </row>
    <row r="140" spans="2:4" x14ac:dyDescent="0.2">
      <c r="B140" s="172">
        <v>45785</v>
      </c>
      <c r="C140" s="167">
        <v>21029</v>
      </c>
      <c r="D140" s="167">
        <v>12155</v>
      </c>
    </row>
    <row r="141" spans="2:4" x14ac:dyDescent="0.2">
      <c r="B141" s="173" t="s">
        <v>638</v>
      </c>
      <c r="C141" s="169">
        <v>19782</v>
      </c>
      <c r="D141" s="169">
        <v>12909</v>
      </c>
    </row>
    <row r="142" spans="2:4" x14ac:dyDescent="0.2">
      <c r="B142" s="172">
        <v>45697</v>
      </c>
      <c r="C142" s="167">
        <v>18396</v>
      </c>
      <c r="D142" s="167">
        <v>12755</v>
      </c>
    </row>
    <row r="143" spans="2:4" x14ac:dyDescent="0.2">
      <c r="B143" s="173" t="s">
        <v>639</v>
      </c>
      <c r="C143" s="169">
        <v>18125</v>
      </c>
      <c r="D143" s="169">
        <v>12087</v>
      </c>
    </row>
    <row r="144" spans="2:4" x14ac:dyDescent="0.2">
      <c r="B144" s="174" t="s">
        <v>640</v>
      </c>
      <c r="C144" s="167">
        <v>17476</v>
      </c>
      <c r="D144" s="167">
        <v>10620</v>
      </c>
    </row>
    <row r="145" spans="2:4" x14ac:dyDescent="0.2">
      <c r="B145" s="173" t="s">
        <v>641</v>
      </c>
      <c r="C145" s="169">
        <v>17818</v>
      </c>
      <c r="D145" s="169">
        <v>9063</v>
      </c>
    </row>
    <row r="146" spans="2:4" x14ac:dyDescent="0.2">
      <c r="B146" s="174" t="s">
        <v>642</v>
      </c>
      <c r="C146" s="167">
        <v>17946</v>
      </c>
      <c r="D146" s="167">
        <v>8371</v>
      </c>
    </row>
    <row r="147" spans="2:4" x14ac:dyDescent="0.2">
      <c r="B147" s="173" t="s">
        <v>643</v>
      </c>
      <c r="C147" s="169">
        <v>18973</v>
      </c>
      <c r="D147" s="169">
        <v>7658</v>
      </c>
    </row>
    <row r="148" spans="2:4" x14ac:dyDescent="0.2">
      <c r="B148" s="174" t="s">
        <v>644</v>
      </c>
      <c r="C148" s="167">
        <v>19430</v>
      </c>
      <c r="D148" s="167">
        <v>7287</v>
      </c>
    </row>
    <row r="149" spans="2:4" x14ac:dyDescent="0.2">
      <c r="B149" s="171">
        <v>45912</v>
      </c>
      <c r="C149" s="169">
        <v>19952</v>
      </c>
      <c r="D149" s="169">
        <v>6900</v>
      </c>
    </row>
    <row r="150" spans="2:4" x14ac:dyDescent="0.2">
      <c r="B150" s="174" t="s">
        <v>645</v>
      </c>
      <c r="C150" s="167">
        <v>17960</v>
      </c>
      <c r="D150" s="167">
        <v>6414</v>
      </c>
    </row>
    <row r="151" spans="2:4" x14ac:dyDescent="0.2">
      <c r="B151" s="171">
        <v>46174</v>
      </c>
      <c r="C151" s="169">
        <v>18524</v>
      </c>
      <c r="D151" s="169">
        <v>6797</v>
      </c>
    </row>
    <row r="152" spans="2:4" x14ac:dyDescent="0.2">
      <c r="B152" s="174" t="s">
        <v>646</v>
      </c>
      <c r="C152" s="167">
        <v>19781</v>
      </c>
      <c r="D152" s="167">
        <v>7712</v>
      </c>
    </row>
    <row r="153" spans="2:4" x14ac:dyDescent="0.2">
      <c r="B153" s="173" t="s">
        <v>647</v>
      </c>
      <c r="C153" s="169">
        <v>20392</v>
      </c>
      <c r="D153" s="169">
        <v>7910</v>
      </c>
    </row>
    <row r="154" spans="2:4" x14ac:dyDescent="0.2">
      <c r="B154" s="174" t="s">
        <v>648</v>
      </c>
      <c r="C154" s="168">
        <v>20392</v>
      </c>
      <c r="D154" s="168">
        <v>7589</v>
      </c>
    </row>
    <row r="155" spans="2:4" x14ac:dyDescent="0.2">
      <c r="B155" s="171">
        <v>46084</v>
      </c>
      <c r="C155" s="169">
        <v>19945</v>
      </c>
      <c r="D155" s="169">
        <v>7541</v>
      </c>
    </row>
    <row r="156" spans="2:4" x14ac:dyDescent="0.2">
      <c r="B156" s="172">
        <v>46098</v>
      </c>
      <c r="C156" s="167">
        <v>20308</v>
      </c>
      <c r="D156" s="167">
        <v>7644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6EE0-0BB0-D745-969C-B2E47C5D245C}">
  <dimension ref="B2:F98"/>
  <sheetViews>
    <sheetView tabSelected="1" zoomScale="90" zoomScaleNormal="90" workbookViewId="0">
      <selection activeCell="B10" sqref="B10"/>
    </sheetView>
  </sheetViews>
  <sheetFormatPr baseColWidth="10" defaultRowHeight="16" x14ac:dyDescent="0.2"/>
  <cols>
    <col min="2" max="2" width="20" customWidth="1"/>
  </cols>
  <sheetData>
    <row r="2" spans="2:6" s="1" customFormat="1" x14ac:dyDescent="0.2">
      <c r="B2" s="1" t="s">
        <v>1</v>
      </c>
      <c r="C2" s="1" t="s">
        <v>656</v>
      </c>
    </row>
    <row r="3" spans="2:6" s="1" customFormat="1" x14ac:dyDescent="0.2">
      <c r="B3" s="1" t="s">
        <v>85</v>
      </c>
      <c r="C3" s="7" t="s">
        <v>67</v>
      </c>
      <c r="D3" s="7"/>
      <c r="E3" s="7"/>
      <c r="F3" s="7"/>
    </row>
    <row r="4" spans="2:6" s="1" customFormat="1" x14ac:dyDescent="0.2">
      <c r="B4" s="1" t="s">
        <v>87</v>
      </c>
      <c r="C4" s="1" t="s">
        <v>655</v>
      </c>
    </row>
    <row r="5" spans="2:6" s="1" customFormat="1" x14ac:dyDescent="0.2">
      <c r="B5" s="1" t="s">
        <v>89</v>
      </c>
    </row>
    <row r="7" spans="2:6" x14ac:dyDescent="0.2">
      <c r="B7" s="175" t="s">
        <v>390</v>
      </c>
      <c r="C7" t="s">
        <v>651</v>
      </c>
      <c r="D7" t="s">
        <v>652</v>
      </c>
      <c r="E7" t="s">
        <v>653</v>
      </c>
      <c r="F7" t="s">
        <v>654</v>
      </c>
    </row>
    <row r="8" spans="2:6" x14ac:dyDescent="0.2">
      <c r="B8" t="s">
        <v>445</v>
      </c>
      <c r="C8">
        <v>1845</v>
      </c>
      <c r="D8">
        <v>2451</v>
      </c>
      <c r="E8">
        <v>1295</v>
      </c>
      <c r="F8">
        <v>9024</v>
      </c>
    </row>
    <row r="9" spans="2:6" x14ac:dyDescent="0.2">
      <c r="B9" t="s">
        <v>446</v>
      </c>
      <c r="C9">
        <v>1889</v>
      </c>
      <c r="D9">
        <v>2606</v>
      </c>
      <c r="E9">
        <v>1102</v>
      </c>
      <c r="F9">
        <v>7563</v>
      </c>
    </row>
    <row r="10" spans="2:6" x14ac:dyDescent="0.2">
      <c r="B10" t="s">
        <v>447</v>
      </c>
      <c r="C10">
        <v>1836</v>
      </c>
      <c r="D10">
        <v>2525</v>
      </c>
      <c r="E10">
        <v>1143</v>
      </c>
      <c r="F10">
        <v>8106</v>
      </c>
    </row>
    <row r="11" spans="2:6" x14ac:dyDescent="0.2">
      <c r="B11" t="s">
        <v>448</v>
      </c>
      <c r="C11">
        <v>1998</v>
      </c>
      <c r="D11">
        <v>2865</v>
      </c>
      <c r="E11">
        <v>1082</v>
      </c>
      <c r="F11">
        <v>7941</v>
      </c>
    </row>
    <row r="12" spans="2:6" x14ac:dyDescent="0.2">
      <c r="B12" t="s">
        <v>449</v>
      </c>
      <c r="C12">
        <v>2210</v>
      </c>
      <c r="D12">
        <v>2936</v>
      </c>
      <c r="E12">
        <v>1067</v>
      </c>
      <c r="F12">
        <v>7784</v>
      </c>
    </row>
    <row r="13" spans="2:6" x14ac:dyDescent="0.2">
      <c r="B13" t="s">
        <v>450</v>
      </c>
      <c r="C13">
        <v>2323</v>
      </c>
      <c r="D13">
        <v>3142</v>
      </c>
      <c r="E13">
        <v>1272</v>
      </c>
      <c r="F13">
        <v>7542</v>
      </c>
    </row>
    <row r="14" spans="2:6" x14ac:dyDescent="0.2">
      <c r="B14" t="s">
        <v>451</v>
      </c>
      <c r="C14">
        <v>2169</v>
      </c>
      <c r="D14">
        <v>3489</v>
      </c>
      <c r="E14">
        <v>1035</v>
      </c>
      <c r="F14">
        <v>7522</v>
      </c>
    </row>
    <row r="15" spans="2:6" x14ac:dyDescent="0.2">
      <c r="B15" t="s">
        <v>452</v>
      </c>
      <c r="C15">
        <v>2055</v>
      </c>
      <c r="D15">
        <v>4010</v>
      </c>
      <c r="E15">
        <v>1222</v>
      </c>
      <c r="F15">
        <v>7746</v>
      </c>
    </row>
    <row r="16" spans="2:6" x14ac:dyDescent="0.2">
      <c r="B16" t="s">
        <v>453</v>
      </c>
      <c r="C16">
        <v>1950</v>
      </c>
      <c r="D16">
        <v>4780</v>
      </c>
      <c r="E16">
        <v>1286</v>
      </c>
      <c r="F16">
        <v>6961</v>
      </c>
    </row>
    <row r="17" spans="2:6" x14ac:dyDescent="0.2">
      <c r="B17" t="s">
        <v>454</v>
      </c>
      <c r="C17">
        <v>2286</v>
      </c>
      <c r="D17">
        <v>5302</v>
      </c>
      <c r="E17">
        <v>1237</v>
      </c>
      <c r="F17">
        <v>6658</v>
      </c>
    </row>
    <row r="18" spans="2:6" x14ac:dyDescent="0.2">
      <c r="B18" t="s">
        <v>455</v>
      </c>
      <c r="C18">
        <v>2123</v>
      </c>
      <c r="D18">
        <v>5506</v>
      </c>
      <c r="E18">
        <v>1124</v>
      </c>
      <c r="F18">
        <v>7350</v>
      </c>
    </row>
    <row r="19" spans="2:6" x14ac:dyDescent="0.2">
      <c r="B19" t="s">
        <v>456</v>
      </c>
      <c r="C19">
        <v>2217</v>
      </c>
      <c r="D19">
        <v>5599</v>
      </c>
      <c r="E19">
        <v>1068</v>
      </c>
      <c r="F19">
        <v>7423</v>
      </c>
    </row>
    <row r="20" spans="2:6" x14ac:dyDescent="0.2">
      <c r="B20" t="s">
        <v>457</v>
      </c>
      <c r="C20">
        <v>2223</v>
      </c>
      <c r="D20">
        <v>5525</v>
      </c>
      <c r="E20">
        <v>1345</v>
      </c>
      <c r="F20">
        <v>7360</v>
      </c>
    </row>
    <row r="21" spans="2:6" x14ac:dyDescent="0.2">
      <c r="B21" t="s">
        <v>458</v>
      </c>
      <c r="C21">
        <v>2487</v>
      </c>
      <c r="D21">
        <v>5547</v>
      </c>
      <c r="E21">
        <v>1256</v>
      </c>
      <c r="F21">
        <v>6109</v>
      </c>
    </row>
    <row r="22" spans="2:6" x14ac:dyDescent="0.2">
      <c r="B22" t="s">
        <v>459</v>
      </c>
      <c r="C22">
        <v>2524</v>
      </c>
      <c r="D22">
        <v>5772</v>
      </c>
      <c r="E22">
        <v>1224</v>
      </c>
      <c r="F22">
        <v>6811</v>
      </c>
    </row>
    <row r="23" spans="2:6" x14ac:dyDescent="0.2">
      <c r="B23" t="s">
        <v>460</v>
      </c>
      <c r="C23">
        <v>2352</v>
      </c>
      <c r="D23">
        <v>5142</v>
      </c>
      <c r="E23">
        <v>1230</v>
      </c>
      <c r="F23">
        <v>5429</v>
      </c>
    </row>
    <row r="24" spans="2:6" x14ac:dyDescent="0.2">
      <c r="B24" t="s">
        <v>461</v>
      </c>
      <c r="C24">
        <v>2411</v>
      </c>
      <c r="D24">
        <v>5532</v>
      </c>
      <c r="E24">
        <v>1338</v>
      </c>
      <c r="F24">
        <v>5431</v>
      </c>
    </row>
    <row r="25" spans="2:6" x14ac:dyDescent="0.2">
      <c r="B25" t="s">
        <v>462</v>
      </c>
      <c r="C25">
        <v>2802</v>
      </c>
      <c r="D25">
        <v>5014</v>
      </c>
      <c r="E25">
        <v>1353</v>
      </c>
      <c r="F25">
        <v>5471</v>
      </c>
    </row>
    <row r="26" spans="2:6" x14ac:dyDescent="0.2">
      <c r="B26" t="s">
        <v>463</v>
      </c>
      <c r="C26">
        <v>2624</v>
      </c>
      <c r="D26">
        <v>4904</v>
      </c>
      <c r="E26">
        <v>1344</v>
      </c>
      <c r="F26">
        <v>5809</v>
      </c>
    </row>
    <row r="27" spans="2:6" x14ac:dyDescent="0.2">
      <c r="B27" t="s">
        <v>464</v>
      </c>
      <c r="C27">
        <v>2523</v>
      </c>
      <c r="D27">
        <v>4858</v>
      </c>
      <c r="E27">
        <v>1260</v>
      </c>
      <c r="F27">
        <v>5678</v>
      </c>
    </row>
    <row r="28" spans="2:6" x14ac:dyDescent="0.2">
      <c r="B28" t="s">
        <v>465</v>
      </c>
      <c r="C28">
        <v>2744</v>
      </c>
      <c r="D28">
        <v>5562</v>
      </c>
      <c r="E28">
        <v>1342</v>
      </c>
      <c r="F28">
        <v>6165</v>
      </c>
    </row>
    <row r="29" spans="2:6" x14ac:dyDescent="0.2">
      <c r="B29" t="s">
        <v>466</v>
      </c>
      <c r="C29">
        <v>2980</v>
      </c>
      <c r="D29">
        <v>5539</v>
      </c>
      <c r="E29">
        <v>1574</v>
      </c>
      <c r="F29">
        <v>5608</v>
      </c>
    </row>
    <row r="30" spans="2:6" x14ac:dyDescent="0.2">
      <c r="B30" t="s">
        <v>467</v>
      </c>
      <c r="C30">
        <v>2406</v>
      </c>
      <c r="D30">
        <v>5376</v>
      </c>
      <c r="E30">
        <v>1628</v>
      </c>
      <c r="F30">
        <v>5918</v>
      </c>
    </row>
    <row r="31" spans="2:6" x14ac:dyDescent="0.2">
      <c r="B31" t="s">
        <v>468</v>
      </c>
      <c r="C31">
        <v>1941</v>
      </c>
      <c r="D31">
        <v>3266</v>
      </c>
      <c r="E31">
        <v>1323</v>
      </c>
      <c r="F31">
        <v>6108</v>
      </c>
    </row>
    <row r="32" spans="2:6" x14ac:dyDescent="0.2">
      <c r="B32" t="s">
        <v>469</v>
      </c>
      <c r="C32">
        <v>2017</v>
      </c>
      <c r="D32">
        <v>3405</v>
      </c>
      <c r="E32">
        <v>1568</v>
      </c>
      <c r="F32">
        <v>6585</v>
      </c>
    </row>
    <row r="33" spans="2:6" x14ac:dyDescent="0.2">
      <c r="B33" t="s">
        <v>470</v>
      </c>
      <c r="C33">
        <v>1864</v>
      </c>
      <c r="D33">
        <v>3780</v>
      </c>
      <c r="E33">
        <v>1667</v>
      </c>
      <c r="F33">
        <v>5427</v>
      </c>
    </row>
    <row r="34" spans="2:6" x14ac:dyDescent="0.2">
      <c r="B34" t="s">
        <v>471</v>
      </c>
      <c r="C34">
        <v>1742</v>
      </c>
      <c r="D34">
        <v>3423</v>
      </c>
      <c r="E34">
        <v>1677</v>
      </c>
      <c r="F34">
        <v>6238</v>
      </c>
    </row>
    <row r="35" spans="2:6" x14ac:dyDescent="0.2">
      <c r="B35" t="s">
        <v>472</v>
      </c>
      <c r="C35">
        <v>1686</v>
      </c>
      <c r="D35">
        <v>2566</v>
      </c>
      <c r="E35">
        <v>1634</v>
      </c>
      <c r="F35">
        <v>5830</v>
      </c>
    </row>
    <row r="36" spans="2:6" x14ac:dyDescent="0.2">
      <c r="B36" t="s">
        <v>473</v>
      </c>
      <c r="C36">
        <v>2090</v>
      </c>
      <c r="D36">
        <v>2512</v>
      </c>
      <c r="E36">
        <v>2003</v>
      </c>
      <c r="F36">
        <v>6223</v>
      </c>
    </row>
    <row r="37" spans="2:6" x14ac:dyDescent="0.2">
      <c r="B37" t="s">
        <v>474</v>
      </c>
      <c r="C37">
        <v>2192</v>
      </c>
      <c r="D37">
        <v>2382</v>
      </c>
      <c r="E37">
        <v>1854</v>
      </c>
      <c r="F37">
        <v>5118</v>
      </c>
    </row>
    <row r="38" spans="2:6" x14ac:dyDescent="0.2">
      <c r="B38" t="s">
        <v>475</v>
      </c>
      <c r="C38">
        <v>2386</v>
      </c>
      <c r="D38">
        <v>2590</v>
      </c>
      <c r="E38">
        <v>1772</v>
      </c>
      <c r="F38">
        <v>5528</v>
      </c>
    </row>
    <row r="39" spans="2:6" x14ac:dyDescent="0.2">
      <c r="B39" t="s">
        <v>476</v>
      </c>
      <c r="C39">
        <v>2935</v>
      </c>
      <c r="D39">
        <v>2304</v>
      </c>
      <c r="E39">
        <v>1822</v>
      </c>
      <c r="F39">
        <v>5520</v>
      </c>
    </row>
    <row r="40" spans="2:6" x14ac:dyDescent="0.2">
      <c r="B40" t="s">
        <v>477</v>
      </c>
      <c r="C40">
        <v>3031</v>
      </c>
      <c r="D40">
        <v>2505</v>
      </c>
      <c r="E40">
        <v>1929</v>
      </c>
      <c r="F40">
        <v>5838</v>
      </c>
    </row>
    <row r="41" spans="2:6" x14ac:dyDescent="0.2">
      <c r="B41" t="s">
        <v>478</v>
      </c>
      <c r="C41">
        <v>2777</v>
      </c>
      <c r="D41">
        <v>2268</v>
      </c>
      <c r="E41">
        <v>1802</v>
      </c>
      <c r="F41">
        <v>5061</v>
      </c>
    </row>
    <row r="42" spans="2:6" x14ac:dyDescent="0.2">
      <c r="B42" t="s">
        <v>479</v>
      </c>
      <c r="C42">
        <v>3372</v>
      </c>
      <c r="D42">
        <v>2381</v>
      </c>
      <c r="E42">
        <v>2003</v>
      </c>
      <c r="F42">
        <v>5848</v>
      </c>
    </row>
    <row r="43" spans="2:6" x14ac:dyDescent="0.2">
      <c r="B43" t="s">
        <v>480</v>
      </c>
      <c r="C43">
        <v>2850</v>
      </c>
      <c r="D43">
        <v>2038</v>
      </c>
      <c r="E43">
        <v>1820</v>
      </c>
      <c r="F43">
        <v>5588</v>
      </c>
    </row>
    <row r="44" spans="2:6" x14ac:dyDescent="0.2">
      <c r="B44" t="s">
        <v>481</v>
      </c>
      <c r="C44">
        <v>3530</v>
      </c>
      <c r="D44">
        <v>2181</v>
      </c>
      <c r="E44">
        <v>2045</v>
      </c>
      <c r="F44">
        <v>6179</v>
      </c>
    </row>
    <row r="45" spans="2:6" x14ac:dyDescent="0.2">
      <c r="B45" t="s">
        <v>482</v>
      </c>
      <c r="C45">
        <v>3967</v>
      </c>
      <c r="D45">
        <v>1813</v>
      </c>
      <c r="E45">
        <v>2070</v>
      </c>
      <c r="F45">
        <v>5000</v>
      </c>
    </row>
    <row r="46" spans="2:6" x14ac:dyDescent="0.2">
      <c r="B46" t="s">
        <v>483</v>
      </c>
      <c r="C46">
        <v>4369</v>
      </c>
      <c r="D46">
        <v>1856</v>
      </c>
      <c r="E46">
        <v>2134</v>
      </c>
      <c r="F46">
        <v>5960</v>
      </c>
    </row>
    <row r="47" spans="2:6" x14ac:dyDescent="0.2">
      <c r="B47" t="s">
        <v>484</v>
      </c>
      <c r="C47">
        <v>4194</v>
      </c>
      <c r="D47">
        <v>1750</v>
      </c>
      <c r="E47">
        <v>1833</v>
      </c>
      <c r="F47">
        <v>6135</v>
      </c>
    </row>
    <row r="48" spans="2:6" x14ac:dyDescent="0.2">
      <c r="B48" t="s">
        <v>485</v>
      </c>
      <c r="C48">
        <v>4933</v>
      </c>
      <c r="D48">
        <v>1760</v>
      </c>
      <c r="E48">
        <v>1941</v>
      </c>
      <c r="F48">
        <v>6414</v>
      </c>
    </row>
    <row r="49" spans="2:6" x14ac:dyDescent="0.2">
      <c r="B49" t="s">
        <v>486</v>
      </c>
      <c r="C49">
        <v>4492</v>
      </c>
      <c r="D49">
        <v>1662</v>
      </c>
      <c r="E49">
        <v>2149</v>
      </c>
      <c r="F49">
        <v>5664</v>
      </c>
    </row>
    <row r="50" spans="2:6" x14ac:dyDescent="0.2">
      <c r="B50" t="s">
        <v>487</v>
      </c>
      <c r="C50">
        <v>4558</v>
      </c>
      <c r="D50">
        <v>1891</v>
      </c>
      <c r="E50">
        <v>2011</v>
      </c>
      <c r="F50">
        <v>6580</v>
      </c>
    </row>
    <row r="51" spans="2:6" x14ac:dyDescent="0.2">
      <c r="B51" t="s">
        <v>488</v>
      </c>
      <c r="C51">
        <v>4063</v>
      </c>
      <c r="D51">
        <v>1646</v>
      </c>
      <c r="E51">
        <v>1905</v>
      </c>
      <c r="F51">
        <v>6869</v>
      </c>
    </row>
    <row r="52" spans="2:6" x14ac:dyDescent="0.2">
      <c r="B52" t="s">
        <v>489</v>
      </c>
      <c r="C52">
        <v>4606</v>
      </c>
      <c r="D52">
        <v>1614</v>
      </c>
      <c r="E52">
        <v>2145</v>
      </c>
      <c r="F52">
        <v>6683</v>
      </c>
    </row>
    <row r="53" spans="2:6" x14ac:dyDescent="0.2">
      <c r="B53" t="s">
        <v>490</v>
      </c>
      <c r="C53">
        <v>4629</v>
      </c>
      <c r="D53">
        <v>1425</v>
      </c>
      <c r="E53">
        <v>1962</v>
      </c>
      <c r="F53">
        <v>5318</v>
      </c>
    </row>
    <row r="54" spans="2:6" x14ac:dyDescent="0.2">
      <c r="B54" t="s">
        <v>491</v>
      </c>
      <c r="C54">
        <v>4557</v>
      </c>
      <c r="D54">
        <v>1224</v>
      </c>
      <c r="E54">
        <v>1949</v>
      </c>
      <c r="F54">
        <v>6016</v>
      </c>
    </row>
    <row r="55" spans="2:6" x14ac:dyDescent="0.2">
      <c r="B55" t="s">
        <v>492</v>
      </c>
      <c r="C55">
        <v>4296</v>
      </c>
      <c r="D55">
        <v>1012</v>
      </c>
      <c r="E55">
        <v>1574</v>
      </c>
      <c r="F55">
        <v>5760</v>
      </c>
    </row>
    <row r="56" spans="2:6" x14ac:dyDescent="0.2">
      <c r="B56" t="s">
        <v>493</v>
      </c>
      <c r="C56">
        <v>4923</v>
      </c>
      <c r="D56">
        <v>666</v>
      </c>
      <c r="E56">
        <v>1712</v>
      </c>
      <c r="F56">
        <v>6206</v>
      </c>
    </row>
    <row r="57" spans="2:6" x14ac:dyDescent="0.2">
      <c r="B57" t="s">
        <v>494</v>
      </c>
      <c r="C57">
        <v>5124</v>
      </c>
      <c r="D57">
        <v>628</v>
      </c>
      <c r="E57">
        <v>1622</v>
      </c>
      <c r="F57">
        <v>5141</v>
      </c>
    </row>
    <row r="58" spans="2:6" x14ac:dyDescent="0.2">
      <c r="B58" t="s">
        <v>495</v>
      </c>
      <c r="C58">
        <v>4877</v>
      </c>
      <c r="D58">
        <v>602</v>
      </c>
      <c r="E58">
        <v>1632</v>
      </c>
      <c r="F58">
        <v>5206</v>
      </c>
    </row>
    <row r="59" spans="2:6" x14ac:dyDescent="0.2">
      <c r="B59" t="s">
        <v>496</v>
      </c>
      <c r="C59">
        <v>4377</v>
      </c>
      <c r="D59">
        <v>563</v>
      </c>
      <c r="E59">
        <v>1546</v>
      </c>
      <c r="F59">
        <v>5284</v>
      </c>
    </row>
    <row r="60" spans="2:6" x14ac:dyDescent="0.2">
      <c r="B60" t="s">
        <v>497</v>
      </c>
      <c r="C60">
        <v>4254</v>
      </c>
      <c r="D60">
        <v>583</v>
      </c>
      <c r="E60">
        <v>1681</v>
      </c>
      <c r="F60">
        <v>5524</v>
      </c>
    </row>
    <row r="61" spans="2:6" x14ac:dyDescent="0.2">
      <c r="B61" t="s">
        <v>498</v>
      </c>
      <c r="C61">
        <v>4402</v>
      </c>
      <c r="D61">
        <v>627</v>
      </c>
      <c r="E61">
        <v>1697</v>
      </c>
      <c r="F61">
        <v>4527</v>
      </c>
    </row>
    <row r="62" spans="2:6" x14ac:dyDescent="0.2">
      <c r="B62" t="s">
        <v>499</v>
      </c>
      <c r="C62">
        <v>3782</v>
      </c>
      <c r="D62">
        <v>662</v>
      </c>
      <c r="E62">
        <v>1800</v>
      </c>
      <c r="F62">
        <v>4646</v>
      </c>
    </row>
    <row r="63" spans="2:6" x14ac:dyDescent="0.2">
      <c r="B63" t="s">
        <v>500</v>
      </c>
      <c r="C63">
        <v>3168</v>
      </c>
      <c r="D63">
        <v>698</v>
      </c>
      <c r="E63">
        <v>1571</v>
      </c>
      <c r="F63">
        <v>4249</v>
      </c>
    </row>
    <row r="64" spans="2:6" x14ac:dyDescent="0.2">
      <c r="B64" t="s">
        <v>501</v>
      </c>
      <c r="C64">
        <v>3288</v>
      </c>
      <c r="D64">
        <v>769</v>
      </c>
      <c r="E64">
        <v>1647</v>
      </c>
      <c r="F64">
        <v>4773</v>
      </c>
    </row>
    <row r="65" spans="2:6" x14ac:dyDescent="0.2">
      <c r="B65" t="s">
        <v>502</v>
      </c>
      <c r="C65">
        <v>3197</v>
      </c>
      <c r="D65">
        <v>763</v>
      </c>
      <c r="E65">
        <v>1620</v>
      </c>
      <c r="F65">
        <v>3853</v>
      </c>
    </row>
    <row r="66" spans="2:6" x14ac:dyDescent="0.2">
      <c r="B66" t="s">
        <v>503</v>
      </c>
      <c r="C66">
        <v>3028</v>
      </c>
      <c r="D66">
        <v>740</v>
      </c>
      <c r="E66">
        <v>1606</v>
      </c>
      <c r="F66">
        <v>4508</v>
      </c>
    </row>
    <row r="67" spans="2:6" x14ac:dyDescent="0.2">
      <c r="B67" t="s">
        <v>504</v>
      </c>
      <c r="C67">
        <v>2377</v>
      </c>
      <c r="D67">
        <v>653</v>
      </c>
      <c r="E67">
        <v>1542</v>
      </c>
      <c r="F67">
        <v>4282</v>
      </c>
    </row>
    <row r="68" spans="2:6" x14ac:dyDescent="0.2">
      <c r="B68" t="s">
        <v>505</v>
      </c>
      <c r="C68">
        <v>2318</v>
      </c>
      <c r="D68">
        <v>642</v>
      </c>
      <c r="E68">
        <v>1592</v>
      </c>
      <c r="F68">
        <v>4174</v>
      </c>
    </row>
    <row r="69" spans="2:6" x14ac:dyDescent="0.2">
      <c r="B69" t="s">
        <v>506</v>
      </c>
      <c r="C69">
        <v>2326</v>
      </c>
      <c r="D69">
        <v>653</v>
      </c>
      <c r="E69">
        <v>1827</v>
      </c>
      <c r="F69">
        <v>3370</v>
      </c>
    </row>
    <row r="70" spans="2:6" x14ac:dyDescent="0.2">
      <c r="B70" t="s">
        <v>507</v>
      </c>
      <c r="C70">
        <v>2366</v>
      </c>
      <c r="D70">
        <v>719</v>
      </c>
      <c r="E70">
        <v>1824</v>
      </c>
      <c r="F70">
        <v>3736</v>
      </c>
    </row>
    <row r="71" spans="2:6" x14ac:dyDescent="0.2">
      <c r="B71" t="s">
        <v>508</v>
      </c>
      <c r="C71">
        <v>1918</v>
      </c>
      <c r="D71">
        <v>838</v>
      </c>
      <c r="E71">
        <v>1787</v>
      </c>
      <c r="F71">
        <v>3417</v>
      </c>
    </row>
    <row r="72" spans="2:6" x14ac:dyDescent="0.2">
      <c r="B72" t="s">
        <v>509</v>
      </c>
      <c r="C72">
        <v>1819</v>
      </c>
      <c r="D72">
        <v>936</v>
      </c>
      <c r="E72">
        <v>1891</v>
      </c>
      <c r="F72">
        <v>3630</v>
      </c>
    </row>
    <row r="73" spans="2:6" x14ac:dyDescent="0.2">
      <c r="B73" t="s">
        <v>510</v>
      </c>
      <c r="C73">
        <v>1973</v>
      </c>
      <c r="D73">
        <v>965</v>
      </c>
      <c r="E73">
        <v>1837</v>
      </c>
      <c r="F73">
        <v>2984</v>
      </c>
    </row>
    <row r="74" spans="2:6" x14ac:dyDescent="0.2">
      <c r="B74" t="s">
        <v>511</v>
      </c>
      <c r="C74">
        <v>1685</v>
      </c>
      <c r="D74">
        <v>1090</v>
      </c>
      <c r="E74">
        <v>1749</v>
      </c>
      <c r="F74">
        <v>3270</v>
      </c>
    </row>
    <row r="75" spans="2:6" x14ac:dyDescent="0.2">
      <c r="B75" t="s">
        <v>512</v>
      </c>
      <c r="C75">
        <v>1763</v>
      </c>
      <c r="D75">
        <v>988</v>
      </c>
      <c r="E75">
        <v>1765</v>
      </c>
      <c r="F75">
        <v>2842</v>
      </c>
    </row>
    <row r="76" spans="2:6" x14ac:dyDescent="0.2">
      <c r="B76" t="s">
        <v>513</v>
      </c>
      <c r="C76">
        <v>1730</v>
      </c>
      <c r="D76">
        <v>803</v>
      </c>
      <c r="E76">
        <v>1645</v>
      </c>
      <c r="F76">
        <v>2632</v>
      </c>
    </row>
    <row r="77" spans="2:6" x14ac:dyDescent="0.2">
      <c r="B77" t="s">
        <v>514</v>
      </c>
      <c r="C77">
        <v>277</v>
      </c>
      <c r="D77">
        <v>70</v>
      </c>
      <c r="E77">
        <v>505</v>
      </c>
      <c r="F77">
        <v>444</v>
      </c>
    </row>
    <row r="78" spans="2:6" x14ac:dyDescent="0.2">
      <c r="B78" t="s">
        <v>394</v>
      </c>
      <c r="C78">
        <v>476</v>
      </c>
      <c r="D78">
        <v>32</v>
      </c>
      <c r="E78">
        <v>518</v>
      </c>
      <c r="F78">
        <v>270</v>
      </c>
    </row>
    <row r="79" spans="2:6" x14ac:dyDescent="0.2">
      <c r="B79" t="s">
        <v>395</v>
      </c>
      <c r="C79">
        <v>732</v>
      </c>
      <c r="D79">
        <v>84</v>
      </c>
      <c r="E79">
        <v>1157</v>
      </c>
      <c r="F79">
        <v>473</v>
      </c>
    </row>
    <row r="80" spans="2:6" x14ac:dyDescent="0.2">
      <c r="B80" t="s">
        <v>396</v>
      </c>
      <c r="C80">
        <v>342</v>
      </c>
      <c r="D80">
        <v>137</v>
      </c>
      <c r="E80">
        <v>865</v>
      </c>
      <c r="F80">
        <v>738</v>
      </c>
    </row>
    <row r="81" spans="2:6" x14ac:dyDescent="0.2">
      <c r="B81" t="s">
        <v>397</v>
      </c>
      <c r="C81">
        <v>439</v>
      </c>
      <c r="D81">
        <v>421</v>
      </c>
      <c r="E81">
        <v>900</v>
      </c>
      <c r="F81">
        <v>696</v>
      </c>
    </row>
    <row r="82" spans="2:6" x14ac:dyDescent="0.2">
      <c r="B82" t="s">
        <v>398</v>
      </c>
      <c r="C82">
        <v>576</v>
      </c>
      <c r="D82">
        <v>428</v>
      </c>
      <c r="E82">
        <v>1183</v>
      </c>
      <c r="F82">
        <v>945</v>
      </c>
    </row>
    <row r="83" spans="2:6" x14ac:dyDescent="0.2">
      <c r="B83" t="s">
        <v>399</v>
      </c>
      <c r="C83">
        <v>953</v>
      </c>
      <c r="D83">
        <v>429</v>
      </c>
      <c r="E83">
        <v>1670</v>
      </c>
      <c r="F83">
        <v>1136</v>
      </c>
    </row>
    <row r="84" spans="2:6" x14ac:dyDescent="0.2">
      <c r="B84" t="s">
        <v>400</v>
      </c>
      <c r="C84">
        <v>1533</v>
      </c>
      <c r="D84">
        <v>429</v>
      </c>
      <c r="E84">
        <v>1764</v>
      </c>
      <c r="F84">
        <v>1562</v>
      </c>
    </row>
    <row r="85" spans="2:6" x14ac:dyDescent="0.2">
      <c r="B85" t="s">
        <v>401</v>
      </c>
      <c r="C85">
        <v>1573</v>
      </c>
      <c r="D85">
        <v>563</v>
      </c>
      <c r="E85">
        <v>1776</v>
      </c>
      <c r="F85">
        <v>1355</v>
      </c>
    </row>
    <row r="86" spans="2:6" x14ac:dyDescent="0.2">
      <c r="B86" t="s">
        <v>402</v>
      </c>
      <c r="C86">
        <v>1951</v>
      </c>
      <c r="D86">
        <v>662</v>
      </c>
      <c r="E86">
        <v>2020</v>
      </c>
      <c r="F86">
        <v>1978</v>
      </c>
    </row>
    <row r="87" spans="2:6" x14ac:dyDescent="0.2">
      <c r="B87" t="s">
        <v>403</v>
      </c>
      <c r="C87">
        <v>1997</v>
      </c>
      <c r="D87">
        <v>538</v>
      </c>
      <c r="E87">
        <v>1968</v>
      </c>
      <c r="F87">
        <v>1865</v>
      </c>
    </row>
    <row r="88" spans="2:6" x14ac:dyDescent="0.2">
      <c r="B88" t="s">
        <v>404</v>
      </c>
      <c r="C88">
        <v>2331</v>
      </c>
      <c r="D88">
        <v>625</v>
      </c>
      <c r="E88">
        <v>2295</v>
      </c>
      <c r="F88">
        <v>2130</v>
      </c>
    </row>
    <row r="89" spans="2:6" x14ac:dyDescent="0.2">
      <c r="B89" t="s">
        <v>405</v>
      </c>
      <c r="C89">
        <v>2987</v>
      </c>
      <c r="D89">
        <v>748</v>
      </c>
      <c r="E89">
        <v>2477</v>
      </c>
      <c r="F89">
        <v>1964</v>
      </c>
    </row>
    <row r="90" spans="2:6" x14ac:dyDescent="0.2">
      <c r="B90" t="s">
        <v>406</v>
      </c>
      <c r="C90">
        <v>3179</v>
      </c>
      <c r="D90">
        <v>739</v>
      </c>
      <c r="E90">
        <v>2510</v>
      </c>
      <c r="F90">
        <v>2320</v>
      </c>
    </row>
    <row r="91" spans="2:6" x14ac:dyDescent="0.2">
      <c r="B91" t="s">
        <v>407</v>
      </c>
      <c r="C91">
        <v>2968</v>
      </c>
      <c r="D91">
        <v>779</v>
      </c>
      <c r="E91">
        <v>2556</v>
      </c>
      <c r="F91">
        <v>2193</v>
      </c>
    </row>
    <row r="92" spans="2:6" x14ac:dyDescent="0.2">
      <c r="B92" t="s">
        <v>408</v>
      </c>
      <c r="C92">
        <v>2928</v>
      </c>
      <c r="D92">
        <v>940</v>
      </c>
      <c r="E92">
        <v>2777</v>
      </c>
      <c r="F92">
        <v>2381</v>
      </c>
    </row>
    <row r="93" spans="2:6" x14ac:dyDescent="0.2">
      <c r="B93" t="s">
        <v>409</v>
      </c>
      <c r="C93">
        <v>3437</v>
      </c>
      <c r="D93">
        <v>932</v>
      </c>
      <c r="E93">
        <v>2918</v>
      </c>
      <c r="F93">
        <v>2145</v>
      </c>
    </row>
    <row r="94" spans="2:6" x14ac:dyDescent="0.2">
      <c r="B94" t="s">
        <v>410</v>
      </c>
      <c r="C94">
        <v>3201</v>
      </c>
      <c r="D94">
        <v>1203</v>
      </c>
      <c r="E94">
        <v>3048</v>
      </c>
      <c r="F94">
        <v>2588</v>
      </c>
    </row>
    <row r="95" spans="2:6" x14ac:dyDescent="0.2">
      <c r="B95" t="s">
        <v>411</v>
      </c>
      <c r="C95">
        <v>2980</v>
      </c>
      <c r="D95">
        <v>1055</v>
      </c>
      <c r="E95">
        <v>2731</v>
      </c>
      <c r="F95">
        <v>2773</v>
      </c>
    </row>
    <row r="96" spans="2:6" x14ac:dyDescent="0.2">
      <c r="B96" t="s">
        <v>412</v>
      </c>
      <c r="C96">
        <v>2632</v>
      </c>
      <c r="D96">
        <v>1128</v>
      </c>
      <c r="E96">
        <v>2549</v>
      </c>
      <c r="F96">
        <v>2638</v>
      </c>
    </row>
    <row r="97" spans="2:6" x14ac:dyDescent="0.2">
      <c r="B97" t="s">
        <v>413</v>
      </c>
      <c r="C97">
        <v>2926</v>
      </c>
      <c r="D97">
        <v>1103</v>
      </c>
      <c r="E97">
        <v>2572</v>
      </c>
      <c r="F97">
        <v>2222</v>
      </c>
    </row>
    <row r="98" spans="2:6" x14ac:dyDescent="0.2">
      <c r="B98" t="s">
        <v>414</v>
      </c>
      <c r="C98">
        <v>2682</v>
      </c>
      <c r="D98">
        <v>1073</v>
      </c>
      <c r="E98">
        <v>2590</v>
      </c>
      <c r="F98">
        <v>2564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  <vt:lpstr>Spareroom Demand Supply</vt:lpstr>
      <vt:lpstr>Repossessions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2026-03-17T17:47:23Z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